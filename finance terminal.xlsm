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\Desktop\terminal financiero v2\"/>
    </mc:Choice>
  </mc:AlternateContent>
  <xr:revisionPtr revIDLastSave="0" documentId="13_ncr:1_{2D235E10-13F7-4226-A4BD-AA52525FC048}" xr6:coauthVersionLast="47" xr6:coauthVersionMax="47" xr10:uidLastSave="{00000000-0000-0000-0000-000000000000}"/>
  <bookViews>
    <workbookView xWindow="-120" yWindow="-120" windowWidth="29040" windowHeight="15720" activeTab="2" xr2:uid="{06DB8DD9-1AF1-475F-B3F9-0A2A0BA20AF7}"/>
  </bookViews>
  <sheets>
    <sheet name="Instructions" sheetId="10" r:id="rId1"/>
    <sheet name="MACRO_ECONOMIC_ANALYSIS" sheetId="2" r:id="rId2"/>
    <sheet name="COMPANY ANALYSIS" sheetId="4" r:id="rId3"/>
    <sheet name="BACKEND (companies data)" sheetId="9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9" l="1"/>
  <c r="J46" i="4"/>
  <c r="J45" i="4"/>
  <c r="J31" i="4"/>
  <c r="J26" i="4"/>
  <c r="J25" i="4"/>
  <c r="E46" i="4"/>
  <c r="E47" i="4"/>
  <c r="E48" i="4"/>
  <c r="E49" i="4"/>
  <c r="E50" i="4"/>
  <c r="E45" i="4"/>
  <c r="E40" i="4"/>
  <c r="I40" i="4" s="1"/>
  <c r="J40" i="4" s="1"/>
  <c r="E39" i="4"/>
  <c r="I39" i="4" s="1"/>
  <c r="J39" i="4" s="1"/>
  <c r="E32" i="4"/>
  <c r="E33" i="4"/>
  <c r="I33" i="4" s="1"/>
  <c r="J33" i="4" s="1"/>
  <c r="E34" i="4"/>
  <c r="I34" i="4" s="1"/>
  <c r="J34" i="4" s="1"/>
  <c r="E31" i="4"/>
  <c r="E24" i="4"/>
  <c r="I24" i="4" s="1"/>
  <c r="J24" i="4" s="1"/>
  <c r="E25" i="4"/>
  <c r="E26" i="4"/>
  <c r="E23" i="4"/>
  <c r="I23" i="4" s="1"/>
  <c r="J23" i="4" s="1"/>
  <c r="E12" i="4"/>
  <c r="E13" i="4"/>
  <c r="E14" i="4"/>
  <c r="I14" i="4" s="1"/>
  <c r="J14" i="4" s="1"/>
  <c r="E15" i="4"/>
  <c r="E16" i="4"/>
  <c r="E17" i="4"/>
  <c r="E18" i="4"/>
  <c r="E11" i="4"/>
  <c r="I11" i="4" s="1"/>
  <c r="J11" i="4" s="1"/>
  <c r="K11" i="4" s="1"/>
  <c r="L11" i="4" s="1"/>
  <c r="M11" i="4" s="1"/>
  <c r="N11" i="4" s="1"/>
  <c r="O11" i="4" s="1"/>
  <c r="I17" i="2"/>
  <c r="J17" i="2"/>
  <c r="I16" i="2"/>
  <c r="J13" i="2"/>
  <c r="B7" i="4" l="1"/>
  <c r="Q9" i="9"/>
  <c r="G7" i="4" s="1"/>
  <c r="P9" i="9"/>
  <c r="E7" i="4" s="1"/>
  <c r="F16" i="4" s="1"/>
  <c r="I16" i="4" s="1"/>
  <c r="J16" i="4" s="1"/>
  <c r="N9" i="9"/>
  <c r="D7" i="4" s="1"/>
  <c r="O9" i="9"/>
  <c r="J27" i="4"/>
  <c r="J41" i="4"/>
  <c r="I15" i="2"/>
  <c r="I14" i="2"/>
  <c r="I13" i="2"/>
  <c r="J16" i="2"/>
  <c r="J15" i="2"/>
  <c r="J14" i="2"/>
  <c r="F32" i="4" l="1"/>
  <c r="I32" i="4" s="1"/>
  <c r="J32" i="4" s="1"/>
  <c r="J35" i="4" s="1"/>
  <c r="F12" i="4"/>
  <c r="I12" i="4" s="1"/>
  <c r="J12" i="4" s="1"/>
  <c r="F49" i="4"/>
  <c r="I49" i="4" s="1"/>
  <c r="J49" i="4" s="1"/>
  <c r="F15" i="4"/>
  <c r="I15" i="4" s="1"/>
  <c r="J15" i="4" s="1"/>
  <c r="F13" i="4"/>
  <c r="I13" i="4" s="1"/>
  <c r="J13" i="4" s="1"/>
  <c r="F18" i="4"/>
  <c r="I18" i="4" s="1"/>
  <c r="J18" i="4" s="1"/>
  <c r="F47" i="4"/>
  <c r="I47" i="4" s="1"/>
  <c r="J47" i="4" s="1"/>
  <c r="F48" i="4"/>
  <c r="I48" i="4" s="1"/>
  <c r="J48" i="4" s="1"/>
  <c r="F50" i="4"/>
  <c r="I50" i="4" s="1"/>
  <c r="J50" i="4" s="1"/>
  <c r="F17" i="4"/>
  <c r="I17" i="4" s="1"/>
  <c r="J17" i="4" s="1"/>
  <c r="I18" i="2"/>
  <c r="J18" i="2" s="1"/>
  <c r="J51" i="4" l="1"/>
  <c r="J19" i="4"/>
  <c r="J54" i="4"/>
  <c r="J53" i="4" l="1"/>
  <c r="E3" i="4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<sst xmlns="http://schemas.openxmlformats.org/spreadsheetml/2006/main" count="2905" uniqueCount="1247">
  <si>
    <t>MACRO ECONOMIC SITUATION</t>
  </si>
  <si>
    <t xml:space="preserve">USA </t>
  </si>
  <si>
    <t>Explication</t>
  </si>
  <si>
    <t>Metric</t>
  </si>
  <si>
    <t>Present %</t>
  </si>
  <si>
    <t>Last %</t>
  </si>
  <si>
    <t>Meaning</t>
  </si>
  <si>
    <t>10-year U.S. bond yield, key interest rate benchmark</t>
  </si>
  <si>
    <t>10-Year Treasury</t>
  </si>
  <si>
    <t>Measure of economic expansion or contraction</t>
  </si>
  <si>
    <t>GDP Growth</t>
  </si>
  <si>
    <t>Percentage of people without jobs in labor force</t>
  </si>
  <si>
    <t>Unemployment Rate</t>
  </si>
  <si>
    <t>Consumer price index, main measure of inflation</t>
  </si>
  <si>
    <t>Inflation (CPI)</t>
  </si>
  <si>
    <t>Overall average score:</t>
  </si>
  <si>
    <t>Markets</t>
  </si>
  <si>
    <t>Exposition</t>
  </si>
  <si>
    <t>Market</t>
  </si>
  <si>
    <t>Price ~$</t>
  </si>
  <si>
    <t>Daily %</t>
  </si>
  <si>
    <t>52W Range</t>
  </si>
  <si>
    <r>
      <rPr>
        <b/>
        <sz val="11"/>
        <color theme="1"/>
        <rFont val="Aptos Narrow"/>
        <family val="2"/>
        <scheme val="minor"/>
      </rPr>
      <t>500 largest U.S. companies</t>
    </r>
    <r>
      <rPr>
        <sz val="11"/>
        <color theme="1"/>
        <rFont val="Aptos Narrow"/>
        <family val="2"/>
        <scheme val="minor"/>
      </rPr>
      <t>, overall U.S. economy</t>
    </r>
  </si>
  <si>
    <t>S&amp;P 500:</t>
  </si>
  <si>
    <r>
      <rPr>
        <b/>
        <sz val="11"/>
        <color theme="1"/>
        <rFont val="Aptos Narrow"/>
        <family val="2"/>
        <scheme val="minor"/>
      </rPr>
      <t>Tech-focused U.S. companies</t>
    </r>
    <r>
      <rPr>
        <sz val="11"/>
        <color theme="1"/>
        <rFont val="Aptos Narrow"/>
        <family val="2"/>
        <scheme val="minor"/>
      </rPr>
      <t>, high volatility</t>
    </r>
  </si>
  <si>
    <t>NASDAQ:</t>
  </si>
  <si>
    <r>
      <rPr>
        <b/>
        <sz val="11"/>
        <color theme="1"/>
        <rFont val="Aptos Narrow"/>
        <family val="2"/>
        <scheme val="minor"/>
      </rPr>
      <t>30 U.S.</t>
    </r>
    <r>
      <rPr>
        <sz val="11"/>
        <color theme="1"/>
        <rFont val="Aptos Narrow"/>
        <family val="2"/>
        <scheme val="minor"/>
      </rPr>
      <t xml:space="preserve"> blue-chip companies, more stable</t>
    </r>
  </si>
  <si>
    <t>DOW JONES:</t>
  </si>
  <si>
    <r>
      <rPr>
        <b/>
        <sz val="11"/>
        <color theme="1"/>
        <rFont val="Aptos Narrow"/>
        <family val="2"/>
        <scheme val="minor"/>
      </rPr>
      <t>50 biggest Eurozone</t>
    </r>
    <r>
      <rPr>
        <sz val="11"/>
        <color theme="1"/>
        <rFont val="Aptos Narrow"/>
        <family val="2"/>
        <scheme val="minor"/>
      </rPr>
      <t xml:space="preserve"> companies, linked to EU economy</t>
    </r>
  </si>
  <si>
    <t>Euro Stoxx 50:</t>
  </si>
  <si>
    <r>
      <t xml:space="preserve">Top </t>
    </r>
    <r>
      <rPr>
        <b/>
        <sz val="11"/>
        <color theme="1"/>
        <rFont val="Aptos Narrow"/>
        <family val="2"/>
        <scheme val="minor"/>
      </rPr>
      <t>Japanese</t>
    </r>
    <r>
      <rPr>
        <sz val="11"/>
        <color theme="1"/>
        <rFont val="Aptos Narrow"/>
        <family val="2"/>
        <scheme val="minor"/>
      </rPr>
      <t xml:space="preserve"> companies, tied to yen and Asia markets</t>
    </r>
  </si>
  <si>
    <t>Nikkei 225:</t>
  </si>
  <si>
    <r>
      <t>U.S. market volatility,</t>
    </r>
    <r>
      <rPr>
        <b/>
        <sz val="11"/>
        <color theme="1"/>
        <rFont val="Aptos Narrow"/>
        <family val="2"/>
        <scheme val="minor"/>
      </rPr>
      <t xml:space="preserve"> rises when stocks drop</t>
    </r>
  </si>
  <si>
    <t>VIX (Miedo):</t>
  </si>
  <si>
    <t>Safe haven, hedge against inflation and uncertainty</t>
  </si>
  <si>
    <t>GOLD:</t>
  </si>
  <si>
    <r>
      <rPr>
        <b/>
        <sz val="11"/>
        <color theme="1"/>
        <rFont val="Aptos Narrow"/>
        <family val="2"/>
        <scheme val="minor"/>
      </rPr>
      <t>Global energy markets</t>
    </r>
    <r>
      <rPr>
        <sz val="11"/>
        <color theme="1"/>
        <rFont val="Aptos Narrow"/>
        <family val="2"/>
        <scheme val="minor"/>
      </rPr>
      <t>, affected by geopolitics and demand</t>
    </r>
  </si>
  <si>
    <t>Oil:</t>
  </si>
  <si>
    <r>
      <t xml:space="preserve">Largest </t>
    </r>
    <r>
      <rPr>
        <b/>
        <sz val="11"/>
        <color theme="1"/>
        <rFont val="Aptos Narrow"/>
        <family val="2"/>
        <scheme val="minor"/>
      </rPr>
      <t>cryptocurrency</t>
    </r>
    <r>
      <rPr>
        <sz val="11"/>
        <color theme="1"/>
        <rFont val="Aptos Narrow"/>
        <family val="2"/>
        <scheme val="minor"/>
      </rPr>
      <t>, very volatile and speculative</t>
    </r>
  </si>
  <si>
    <t>BTC:</t>
  </si>
  <si>
    <r>
      <rPr>
        <b/>
        <sz val="11"/>
        <color theme="1"/>
        <rFont val="Aptos Narrow"/>
        <family val="2"/>
        <scheme val="minor"/>
      </rPr>
      <t>Blockchain</t>
    </r>
    <r>
      <rPr>
        <sz val="11"/>
        <color theme="1"/>
        <rFont val="Aptos Narrow"/>
        <family val="2"/>
        <scheme val="minor"/>
      </rPr>
      <t xml:space="preserve"> infrastructure, high risk/reward</t>
    </r>
  </si>
  <si>
    <t>ETH</t>
  </si>
  <si>
    <r>
      <rPr>
        <b/>
        <sz val="11"/>
        <color theme="1"/>
        <rFont val="Aptos Narrow"/>
        <family val="2"/>
        <scheme val="minor"/>
      </rPr>
      <t>Crypto</t>
    </r>
    <r>
      <rPr>
        <sz val="11"/>
        <color theme="1"/>
        <rFont val="Aptos Narrow"/>
        <family val="2"/>
        <scheme val="minor"/>
      </rPr>
      <t xml:space="preserve"> for cross-border payments, regulation risk</t>
    </r>
  </si>
  <si>
    <t>XRP:</t>
  </si>
  <si>
    <r>
      <rPr>
        <b/>
        <sz val="11"/>
        <color theme="1"/>
        <rFont val="Aptos Narrow"/>
        <family val="2"/>
        <scheme val="minor"/>
      </rPr>
      <t>Blockchain</t>
    </r>
    <r>
      <rPr>
        <sz val="11"/>
        <color theme="1"/>
        <rFont val="Aptos Narrow"/>
        <family val="2"/>
        <scheme val="minor"/>
      </rPr>
      <t xml:space="preserve"> platform for scalability, early-stage risk</t>
    </r>
  </si>
  <si>
    <t>ADA:</t>
  </si>
  <si>
    <t>COMPANY INPUT</t>
  </si>
  <si>
    <t>Tickr</t>
  </si>
  <si>
    <t>Company Name</t>
  </si>
  <si>
    <t xml:space="preserve">Stock </t>
  </si>
  <si>
    <t>Select company to value:</t>
  </si>
  <si>
    <t>SEARCH fundamentals</t>
  </si>
  <si>
    <t>VALOR</t>
  </si>
  <si>
    <t>DESCRIPCIÓN</t>
  </si>
  <si>
    <t xml:space="preserve">   </t>
  </si>
  <si>
    <t>AAPL</t>
  </si>
  <si>
    <t>EPS</t>
  </si>
  <si>
    <t>Beneficio por acción</t>
  </si>
  <si>
    <t>ABBV</t>
  </si>
  <si>
    <t>EBITDA</t>
  </si>
  <si>
    <t>ABEV</t>
  </si>
  <si>
    <t>Ambev S.A.</t>
  </si>
  <si>
    <t>EV/EBITDA</t>
  </si>
  <si>
    <t>ABNB</t>
  </si>
  <si>
    <t>ABT</t>
  </si>
  <si>
    <t>Abbott Laboratories</t>
  </si>
  <si>
    <t>ACN</t>
  </si>
  <si>
    <t>ADBE</t>
  </si>
  <si>
    <t>ADI</t>
  </si>
  <si>
    <t>ADP</t>
  </si>
  <si>
    <t>AMAT</t>
  </si>
  <si>
    <t>AMD</t>
  </si>
  <si>
    <t>AMGN</t>
  </si>
  <si>
    <t>AMZN</t>
  </si>
  <si>
    <t>ASML</t>
  </si>
  <si>
    <t>AVGO</t>
  </si>
  <si>
    <t>AXP</t>
  </si>
  <si>
    <t>American Express Company</t>
  </si>
  <si>
    <t>BA</t>
  </si>
  <si>
    <t>BABA</t>
  </si>
  <si>
    <t>BBD</t>
  </si>
  <si>
    <t>Banco Bradesco S.A.</t>
  </si>
  <si>
    <t>BEKE</t>
  </si>
  <si>
    <t>Bank of Montreal</t>
  </si>
  <si>
    <t>ROE</t>
  </si>
  <si>
    <t>BIDU</t>
  </si>
  <si>
    <t>BILI</t>
  </si>
  <si>
    <t>BKNG</t>
  </si>
  <si>
    <t>BRFS</t>
  </si>
  <si>
    <t>BRF S.A.</t>
  </si>
  <si>
    <t>BRK-B</t>
  </si>
  <si>
    <t>CAT</t>
  </si>
  <si>
    <t>CCB</t>
  </si>
  <si>
    <t>CDNS</t>
  </si>
  <si>
    <t>CHTR</t>
  </si>
  <si>
    <t>CMCSA</t>
  </si>
  <si>
    <t>Canadian National Railway Company</t>
  </si>
  <si>
    <t>COST</t>
  </si>
  <si>
    <t>CRM</t>
  </si>
  <si>
    <t>CSCO</t>
  </si>
  <si>
    <t>CSX</t>
  </si>
  <si>
    <t>CVX</t>
  </si>
  <si>
    <t>Diageo plc</t>
  </si>
  <si>
    <t>DHR</t>
  </si>
  <si>
    <t>DIS</t>
  </si>
  <si>
    <t>EBR</t>
  </si>
  <si>
    <t>Evotec SE</t>
  </si>
  <si>
    <t>FTNT</t>
  </si>
  <si>
    <t>GILD</t>
  </si>
  <si>
    <t>GOOG</t>
  </si>
  <si>
    <t>GOOGL</t>
  </si>
  <si>
    <t>GS</t>
  </si>
  <si>
    <t>HD</t>
  </si>
  <si>
    <t>HON</t>
  </si>
  <si>
    <t>HSBC Holdings plc</t>
  </si>
  <si>
    <t>IBM</t>
  </si>
  <si>
    <t>AIA</t>
  </si>
  <si>
    <t>INFY</t>
  </si>
  <si>
    <t>ING Groep N.V.</t>
  </si>
  <si>
    <t>INTC</t>
  </si>
  <si>
    <t>INTU</t>
  </si>
  <si>
    <t>ISRG</t>
  </si>
  <si>
    <t>ITUB</t>
  </si>
  <si>
    <t>JD</t>
  </si>
  <si>
    <t>JNJ</t>
  </si>
  <si>
    <t>Johnson &amp; Johnson</t>
  </si>
  <si>
    <t>JPM</t>
  </si>
  <si>
    <t>KLAC</t>
  </si>
  <si>
    <t>KO</t>
  </si>
  <si>
    <t>LI</t>
  </si>
  <si>
    <t>LLY</t>
  </si>
  <si>
    <t>LOW</t>
  </si>
  <si>
    <t>LRCX</t>
  </si>
  <si>
    <t>Lloyds Banking Group plc</t>
  </si>
  <si>
    <t>MA</t>
  </si>
  <si>
    <t>MAR</t>
  </si>
  <si>
    <t>MCD</t>
  </si>
  <si>
    <t>MDLZ</t>
  </si>
  <si>
    <t>MELI</t>
  </si>
  <si>
    <t>META</t>
  </si>
  <si>
    <t>MMM</t>
  </si>
  <si>
    <t>3M Company</t>
  </si>
  <si>
    <t>MNST</t>
  </si>
  <si>
    <t>MRK</t>
  </si>
  <si>
    <t>MSFT</t>
  </si>
  <si>
    <t>Microsoft Corporation</t>
  </si>
  <si>
    <t>MU</t>
  </si>
  <si>
    <t>NEE</t>
  </si>
  <si>
    <t>NIO</t>
  </si>
  <si>
    <t>NKE</t>
  </si>
  <si>
    <t>NU</t>
  </si>
  <si>
    <t>NVDA</t>
  </si>
  <si>
    <t>Novartis AG</t>
  </si>
  <si>
    <t>NXPI</t>
  </si>
  <si>
    <t>ORCL</t>
  </si>
  <si>
    <t>ORLY</t>
  </si>
  <si>
    <t>PANW</t>
  </si>
  <si>
    <t>PBR</t>
  </si>
  <si>
    <t>PDD</t>
  </si>
  <si>
    <t>PEP</t>
  </si>
  <si>
    <t>PG</t>
  </si>
  <si>
    <t>Koninklijke Philips N.V.</t>
  </si>
  <si>
    <t>PM</t>
  </si>
  <si>
    <t>Prudential plc</t>
  </si>
  <si>
    <t>PYPL</t>
  </si>
  <si>
    <t>QCOM</t>
  </si>
  <si>
    <t>Ferrari N.V.</t>
  </si>
  <si>
    <t>REGN</t>
  </si>
  <si>
    <t>RTX</t>
  </si>
  <si>
    <t>SBS</t>
  </si>
  <si>
    <t>SBUX</t>
  </si>
  <si>
    <t>SHOP</t>
  </si>
  <si>
    <t>SNPS</t>
  </si>
  <si>
    <t>Sanofi</t>
  </si>
  <si>
    <t>Sony Group Corporation</t>
  </si>
  <si>
    <t>Toyota Motor Corporation</t>
  </si>
  <si>
    <t>TME</t>
  </si>
  <si>
    <t>Tencent Music Entertainment Group</t>
  </si>
  <si>
    <t>TMO</t>
  </si>
  <si>
    <t>TMUS</t>
  </si>
  <si>
    <t>TRV</t>
  </si>
  <si>
    <t>TSLA</t>
  </si>
  <si>
    <t>TotalEnergies SE</t>
  </si>
  <si>
    <t>TXN</t>
  </si>
  <si>
    <t>UNH</t>
  </si>
  <si>
    <t>UPS</t>
  </si>
  <si>
    <t>V</t>
  </si>
  <si>
    <t>VALE</t>
  </si>
  <si>
    <t>Vale S.A.</t>
  </si>
  <si>
    <t>VRTX</t>
  </si>
  <si>
    <t>VZ</t>
  </si>
  <si>
    <t>Woodside Energy Group Ltd</t>
  </si>
  <si>
    <t>WMT</t>
  </si>
  <si>
    <t>XOM</t>
  </si>
  <si>
    <t>XPEV</t>
  </si>
  <si>
    <t>7203.T</t>
  </si>
  <si>
    <t>6758.T</t>
  </si>
  <si>
    <t>6861.T</t>
  </si>
  <si>
    <t>Keyence Corporation</t>
  </si>
  <si>
    <t>9984.T</t>
  </si>
  <si>
    <t>6954.T</t>
  </si>
  <si>
    <t>Fanuc Corporation</t>
  </si>
  <si>
    <t>ASML.AS</t>
  </si>
  <si>
    <t>Euronext Amsterdam</t>
  </si>
  <si>
    <t>RMS.PA</t>
  </si>
  <si>
    <t>MC.PA</t>
  </si>
  <si>
    <t>OR.PA</t>
  </si>
  <si>
    <t>SAP.DE</t>
  </si>
  <si>
    <t>SAP SE</t>
  </si>
  <si>
    <t>SIE.DE</t>
  </si>
  <si>
    <t>VOW3.DE</t>
  </si>
  <si>
    <t>Volkswagen AG</t>
  </si>
  <si>
    <t>BMW.DE</t>
  </si>
  <si>
    <t>BAS.DE</t>
  </si>
  <si>
    <t>BASF SE</t>
  </si>
  <si>
    <t>ALV.DE</t>
  </si>
  <si>
    <t>Allianz SE</t>
  </si>
  <si>
    <t>NESN.SW</t>
  </si>
  <si>
    <t>ROG.SW</t>
  </si>
  <si>
    <t>Roche Holding AG</t>
  </si>
  <si>
    <t>NOVN.SW</t>
  </si>
  <si>
    <t>UHR.SW</t>
  </si>
  <si>
    <t>AZN.L</t>
  </si>
  <si>
    <t>AstraZeneca PLC</t>
  </si>
  <si>
    <t>ULVR.L</t>
  </si>
  <si>
    <t>Unilever PLC</t>
  </si>
  <si>
    <t>BATS.L</t>
  </si>
  <si>
    <t>BP.L</t>
  </si>
  <si>
    <t>0700.HK</t>
  </si>
  <si>
    <t>9988.HK</t>
  </si>
  <si>
    <t>Alibaba Group Holding Limited</t>
  </si>
  <si>
    <t>0941.HK</t>
  </si>
  <si>
    <t>1299.HK</t>
  </si>
  <si>
    <t>CBA.AX</t>
  </si>
  <si>
    <t>Commonwealth Bank of Australia</t>
  </si>
  <si>
    <t>BHP.AX</t>
  </si>
  <si>
    <t>BHP Group Limited</t>
  </si>
  <si>
    <t>CSL.AX</t>
  </si>
  <si>
    <t>CSL Limited</t>
  </si>
  <si>
    <t>RY.TO</t>
  </si>
  <si>
    <t>Royal Bank of Canada</t>
  </si>
  <si>
    <t>TD.TO</t>
  </si>
  <si>
    <t>The Toronto-Dominion Bank</t>
  </si>
  <si>
    <t>RELIANCE.NS</t>
  </si>
  <si>
    <t>Reliance Industries Limited</t>
  </si>
  <si>
    <t>TCS.NS</t>
  </si>
  <si>
    <t>Tata Consultancy Services Limited</t>
  </si>
  <si>
    <t>INFY.NS</t>
  </si>
  <si>
    <t>Infosys Limited</t>
  </si>
  <si>
    <t>VALE3.SA</t>
  </si>
  <si>
    <t>PETR4.SA</t>
  </si>
  <si>
    <t>ITUB4.SA</t>
  </si>
  <si>
    <t>MÉTRICA</t>
  </si>
  <si>
    <t>Market Cap</t>
  </si>
  <si>
    <t>ROA</t>
  </si>
  <si>
    <t>FED Interest Rates</t>
  </si>
  <si>
    <t>Estimulation of the economy</t>
  </si>
  <si>
    <t>1472,55 - 4831,35</t>
  </si>
  <si>
    <t>Ticker</t>
  </si>
  <si>
    <t>Company</t>
  </si>
  <si>
    <t>Exchange</t>
  </si>
  <si>
    <t>Apple Inc.</t>
  </si>
  <si>
    <t>NYSE/NASDAQ (S&amp;P 500)</t>
  </si>
  <si>
    <t>Alphabet Inc.</t>
  </si>
  <si>
    <t>Amazon.com, Inc.</t>
  </si>
  <si>
    <t>NVIDIA Corporation</t>
  </si>
  <si>
    <t>Meta Platforms, Inc.</t>
  </si>
  <si>
    <t>Tesla, Inc.</t>
  </si>
  <si>
    <t>Berkshire Hathaway Inc.</t>
  </si>
  <si>
    <t>UnitedHealth Group Incorporated</t>
  </si>
  <si>
    <t>JPMorgan Chase &amp; Co.</t>
  </si>
  <si>
    <t>Visa Inc.</t>
  </si>
  <si>
    <t>The Procter &amp; Gamble Company</t>
  </si>
  <si>
    <t>Exxon Mobil Corporation</t>
  </si>
  <si>
    <t>The Home Depot, Inc.</t>
  </si>
  <si>
    <t>Chevron Corporation</t>
  </si>
  <si>
    <t>Mastercard Incorporated</t>
  </si>
  <si>
    <t>Merck &amp; Co., Inc.</t>
  </si>
  <si>
    <t>AbbVie Inc.</t>
  </si>
  <si>
    <t>PepsiCo, Inc.</t>
  </si>
  <si>
    <t>The Coca-Cola Company</t>
  </si>
  <si>
    <t>Broadcom Inc.</t>
  </si>
  <si>
    <t>Costco Wholesale Corporation</t>
  </si>
  <si>
    <t>Eli Lilly and Company</t>
  </si>
  <si>
    <t>Adobe Inc.</t>
  </si>
  <si>
    <t>Walmart Inc.</t>
  </si>
  <si>
    <t>Thermo Fisher Scientific Inc.</t>
  </si>
  <si>
    <t>McDonald's Corporation</t>
  </si>
  <si>
    <t>Accenture plc</t>
  </si>
  <si>
    <t>Cisco Systems, Inc.</t>
  </si>
  <si>
    <t>Salesforce, Inc.</t>
  </si>
  <si>
    <t>NIKE, Inc.</t>
  </si>
  <si>
    <t>Danaher Corporation</t>
  </si>
  <si>
    <t>Texas Instruments Incorporated</t>
  </si>
  <si>
    <t>NextEra Energy, Inc.</t>
  </si>
  <si>
    <t>The Walt Disney Company</t>
  </si>
  <si>
    <t>Verizon Communications Inc.</t>
  </si>
  <si>
    <t>Comcast Corporation</t>
  </si>
  <si>
    <t>Philip Morris International Inc.</t>
  </si>
  <si>
    <t>Intel Corporation</t>
  </si>
  <si>
    <t>United Parcel Service, Inc.</t>
  </si>
  <si>
    <t>RTX Corporation</t>
  </si>
  <si>
    <t>Intuit Inc.</t>
  </si>
  <si>
    <t>Oracle Corporation</t>
  </si>
  <si>
    <t>QUALCOMM Incorporated</t>
  </si>
  <si>
    <t>Honeywell International Inc.</t>
  </si>
  <si>
    <t>The Boeing Company</t>
  </si>
  <si>
    <t>Amgen Inc.</t>
  </si>
  <si>
    <t>Lowe's Companies, Inc.</t>
  </si>
  <si>
    <t>NASDAQ (NASDAQ 100)</t>
  </si>
  <si>
    <t>NFLX</t>
  </si>
  <si>
    <t>Netflix, Inc.</t>
  </si>
  <si>
    <t>Advanced Micro Devices, Inc.</t>
  </si>
  <si>
    <t>T-Mobile US, Inc.</t>
  </si>
  <si>
    <t>Applied Materials, Inc.</t>
  </si>
  <si>
    <t>Intuitive Surgical, Inc.</t>
  </si>
  <si>
    <t>Booking Holdings Inc.</t>
  </si>
  <si>
    <t>Automatic Data Processing, Inc.</t>
  </si>
  <si>
    <t>Starbucks Corporation</t>
  </si>
  <si>
    <t>Gilead Sciences, Inc.</t>
  </si>
  <si>
    <t>Vertex Pharmaceuticals Incorporated</t>
  </si>
  <si>
    <t>Analog Devices, Inc.</t>
  </si>
  <si>
    <t>Regeneron Pharmaceuticals, Inc.</t>
  </si>
  <si>
    <t>Lam Research Corporation</t>
  </si>
  <si>
    <t>Palo Alto Networks, Inc.</t>
  </si>
  <si>
    <t>Micron Technology, Inc.</t>
  </si>
  <si>
    <t>Mondelez International, Inc.</t>
  </si>
  <si>
    <t>PayPal Holdings, Inc.</t>
  </si>
  <si>
    <t>Synopsys, Inc.</t>
  </si>
  <si>
    <t>KLA Corporation</t>
  </si>
  <si>
    <t>Cadence Design Systems, Inc.</t>
  </si>
  <si>
    <t>MercadoLibre, Inc.</t>
  </si>
  <si>
    <t>ASML Holding N.V.</t>
  </si>
  <si>
    <t>Airbnb, Inc.</t>
  </si>
  <si>
    <t>Marriott International, Inc.</t>
  </si>
  <si>
    <t>CSX Corporation</t>
  </si>
  <si>
    <t>O'Reilly Automotive, Inc.</t>
  </si>
  <si>
    <t>Charter Communications, Inc.</t>
  </si>
  <si>
    <t>Monster Beverage Corporation</t>
  </si>
  <si>
    <t>Fortinet, Inc.</t>
  </si>
  <si>
    <t>NXP Semiconductors N.V.</t>
  </si>
  <si>
    <t>International Business Machines Corporation</t>
  </si>
  <si>
    <t>NYSE (Dow Jones)</t>
  </si>
  <si>
    <t>Caterpillar Inc.</t>
  </si>
  <si>
    <t>The Goldman Sachs Group, Inc.</t>
  </si>
  <si>
    <t>The Travelers Companies, Inc.</t>
  </si>
  <si>
    <t>SHEL.L</t>
  </si>
  <si>
    <t>Shell plc</t>
  </si>
  <si>
    <t>LSE (FTSE 100)</t>
  </si>
  <si>
    <t>HSBA.L</t>
  </si>
  <si>
    <t>DGE.L</t>
  </si>
  <si>
    <t>RIO.L</t>
  </si>
  <si>
    <t>Rio Tinto Group</t>
  </si>
  <si>
    <t>BP p.l.c.</t>
  </si>
  <si>
    <t>British American Tobacco p.l.c.</t>
  </si>
  <si>
    <t>GSK.L</t>
  </si>
  <si>
    <t>GSK plc</t>
  </si>
  <si>
    <t>TSCO.L</t>
  </si>
  <si>
    <t>Tesco PLC</t>
  </si>
  <si>
    <t>NG.L</t>
  </si>
  <si>
    <t>National Grid plc</t>
  </si>
  <si>
    <t>LSEG.L</t>
  </si>
  <si>
    <t>London Stock Exchange Group plc</t>
  </si>
  <si>
    <t>REL.L</t>
  </si>
  <si>
    <t>RELX PLC</t>
  </si>
  <si>
    <t>VOD.L</t>
  </si>
  <si>
    <t>Vodafone Group Public Limited Company</t>
  </si>
  <si>
    <t>PRU.L</t>
  </si>
  <si>
    <t>LLOY.L</t>
  </si>
  <si>
    <t>BARC.L</t>
  </si>
  <si>
    <t>Barclays PLC</t>
  </si>
  <si>
    <t>NWG.L</t>
  </si>
  <si>
    <t>NatWest Group plc</t>
  </si>
  <si>
    <t>ANTO.L</t>
  </si>
  <si>
    <t>Antofagasta plc</t>
  </si>
  <si>
    <t>AAL.L</t>
  </si>
  <si>
    <t>Anglo American plc</t>
  </si>
  <si>
    <t>CRH.L</t>
  </si>
  <si>
    <t>CRH plc</t>
  </si>
  <si>
    <t>IMB.L</t>
  </si>
  <si>
    <t>Imperial Brands PLC</t>
  </si>
  <si>
    <t>GLEN.L</t>
  </si>
  <si>
    <t>Glencore plc</t>
  </si>
  <si>
    <t>IAG.L</t>
  </si>
  <si>
    <t>International Consolidated Airlines Group S.A.</t>
  </si>
  <si>
    <t>CPG.L</t>
  </si>
  <si>
    <t>Compass Group PLC</t>
  </si>
  <si>
    <t>BA.L</t>
  </si>
  <si>
    <t>BAE Systems plc</t>
  </si>
  <si>
    <t>BHP.L</t>
  </si>
  <si>
    <t>RKT.L</t>
  </si>
  <si>
    <t>Reckitt Benckiser Group plc</t>
  </si>
  <si>
    <t>SSE.L</t>
  </si>
  <si>
    <t>SSE plc</t>
  </si>
  <si>
    <t>EXPN.L</t>
  </si>
  <si>
    <t>Experian plc</t>
  </si>
  <si>
    <t>AVV.L</t>
  </si>
  <si>
    <t>Company AVV.L</t>
  </si>
  <si>
    <t>FERG.L</t>
  </si>
  <si>
    <t>Ferguson Enterprises Inc.</t>
  </si>
  <si>
    <t>BRBY.L</t>
  </si>
  <si>
    <t>Burberry Group plc</t>
  </si>
  <si>
    <t>WPP.L</t>
  </si>
  <si>
    <t>WPP plc</t>
  </si>
  <si>
    <t>LGEN.L</t>
  </si>
  <si>
    <t>Legal &amp; General Group Plc</t>
  </si>
  <si>
    <t>LAND.L</t>
  </si>
  <si>
    <t>Land Securities Group Plc</t>
  </si>
  <si>
    <t>SMDS.L</t>
  </si>
  <si>
    <t>Company SMDS.L</t>
  </si>
  <si>
    <t>INF.L</t>
  </si>
  <si>
    <t>Informa plc</t>
  </si>
  <si>
    <t>SDR.L</t>
  </si>
  <si>
    <t>Schroders plc</t>
  </si>
  <si>
    <t>IHG.L</t>
  </si>
  <si>
    <t>InterContinental Hotels Group PLC</t>
  </si>
  <si>
    <t>XETRA (DAX)</t>
  </si>
  <si>
    <t>Siemens Aktiengesellschaft</t>
  </si>
  <si>
    <t>DTE.DE</t>
  </si>
  <si>
    <t>Deutsche Telekom AG</t>
  </si>
  <si>
    <t>MUV2.DE</t>
  </si>
  <si>
    <t>Münchener Rückversicherungs-Gesellschaft Aktiengesellschaft in München</t>
  </si>
  <si>
    <t>AIR.DE</t>
  </si>
  <si>
    <t>Airbus SE</t>
  </si>
  <si>
    <t>EOAN.DE</t>
  </si>
  <si>
    <t>E.ON SE</t>
  </si>
  <si>
    <t>MBG.DE</t>
  </si>
  <si>
    <t>Mercedes-Benz Group AG</t>
  </si>
  <si>
    <t>DB1.DE</t>
  </si>
  <si>
    <t>Deutsche Börse AG</t>
  </si>
  <si>
    <t>Bayerische Motoren Werke Aktiengesellschaft</t>
  </si>
  <si>
    <t>ADS.DE</t>
  </si>
  <si>
    <t>adidas AG</t>
  </si>
  <si>
    <t>BNR.DE</t>
  </si>
  <si>
    <t>Brenntag SE</t>
  </si>
  <si>
    <t>CON.DE</t>
  </si>
  <si>
    <t>Continental Aktiengesellschaft</t>
  </si>
  <si>
    <t>HEN3.DE</t>
  </si>
  <si>
    <t>Henkel AG &amp; Co. KGaA</t>
  </si>
  <si>
    <t>FRE.DE</t>
  </si>
  <si>
    <t>Fresenius SE &amp; Co. KGaA</t>
  </si>
  <si>
    <t>IFX.DE</t>
  </si>
  <si>
    <t>Infineon Technologies AG</t>
  </si>
  <si>
    <t>RWE.DE</t>
  </si>
  <si>
    <t>RWE Aktiengesellschaft</t>
  </si>
  <si>
    <t>DAI.DE</t>
  </si>
  <si>
    <t>Company DAI.DE</t>
  </si>
  <si>
    <t>VNA.DE</t>
  </si>
  <si>
    <t>Vonovia SE</t>
  </si>
  <si>
    <t>HEI.DE</t>
  </si>
  <si>
    <t>Heidelberg Materials AG</t>
  </si>
  <si>
    <t>PAH3.DE</t>
  </si>
  <si>
    <t>Porsche Automobil Holding SE</t>
  </si>
  <si>
    <t>SHL.DE</t>
  </si>
  <si>
    <t>Siemens Healthineers AG</t>
  </si>
  <si>
    <t>ZAL.DE</t>
  </si>
  <si>
    <t>Zalando SE</t>
  </si>
  <si>
    <t>BEI.DE</t>
  </si>
  <si>
    <t>Beiersdorf Aktiengesellschaft</t>
  </si>
  <si>
    <t>MTX.DE</t>
  </si>
  <si>
    <t>MTU Aero Engines AG</t>
  </si>
  <si>
    <t>PUM.DE</t>
  </si>
  <si>
    <t>PUMA SE</t>
  </si>
  <si>
    <t>SY1.DE</t>
  </si>
  <si>
    <t>Symrise AG</t>
  </si>
  <si>
    <t>QIA.DE</t>
  </si>
  <si>
    <t>Qiagen N.V.</t>
  </si>
  <si>
    <t>HNR1.DE</t>
  </si>
  <si>
    <t>Hannover Rück SE</t>
  </si>
  <si>
    <t>LIN.DE</t>
  </si>
  <si>
    <t>Linde plc</t>
  </si>
  <si>
    <t>P911.DE</t>
  </si>
  <si>
    <t>Dr. Ing. h.c. F. Porsche AG</t>
  </si>
  <si>
    <t>MRK.DE</t>
  </si>
  <si>
    <t>Merck KGaA</t>
  </si>
  <si>
    <t>EVT.DE</t>
  </si>
  <si>
    <t>DHL.DE</t>
  </si>
  <si>
    <t>Deutsche Post AG</t>
  </si>
  <si>
    <t>HFG.DE</t>
  </si>
  <si>
    <t>HelloFresh SE</t>
  </si>
  <si>
    <t>FME.DE</t>
  </si>
  <si>
    <t>Fresenius Medical Care AG</t>
  </si>
  <si>
    <t>BAY.DE</t>
  </si>
  <si>
    <t>Company BAY.DE</t>
  </si>
  <si>
    <t>WCH.DE</t>
  </si>
  <si>
    <t>Wacker Chemie AG</t>
  </si>
  <si>
    <t>LVMH Moët Hennessy - Louis Vuitton, Société Européenne</t>
  </si>
  <si>
    <t>Euronext Paris (CAC 40)</t>
  </si>
  <si>
    <t>L'Oréal S.A.</t>
  </si>
  <si>
    <t>SAN.PA</t>
  </si>
  <si>
    <t>TTE.PA</t>
  </si>
  <si>
    <t>AI.PA</t>
  </si>
  <si>
    <t>L'Air Liquide S.A.</t>
  </si>
  <si>
    <t>BN.PA</t>
  </si>
  <si>
    <t>Danone S.A.</t>
  </si>
  <si>
    <t>SU.PA</t>
  </si>
  <si>
    <t>Schneider Electric S.E.</t>
  </si>
  <si>
    <t>SAF.PA</t>
  </si>
  <si>
    <t>Safran SA</t>
  </si>
  <si>
    <t>CS.PA</t>
  </si>
  <si>
    <t>AXA SA</t>
  </si>
  <si>
    <t>EL.PA</t>
  </si>
  <si>
    <t>EssilorLuxottica Société anonyme</t>
  </si>
  <si>
    <t>VIV.PA</t>
  </si>
  <si>
    <t>Vivendi SE</t>
  </si>
  <si>
    <t>CAP.PA</t>
  </si>
  <si>
    <t>Capgemini SE</t>
  </si>
  <si>
    <t>BNP.PA</t>
  </si>
  <si>
    <t>BNP Paribas SA</t>
  </si>
  <si>
    <t>DG.PA</t>
  </si>
  <si>
    <t>Vinci SA</t>
  </si>
  <si>
    <t>RI.PA</t>
  </si>
  <si>
    <t>Pernod Ricard SA</t>
  </si>
  <si>
    <t>KER.PA</t>
  </si>
  <si>
    <t>Kering SA</t>
  </si>
  <si>
    <t>ACA.PA</t>
  </si>
  <si>
    <t>Crédit Agricole S.A.</t>
  </si>
  <si>
    <t>Hermès International Société en commandite par actions</t>
  </si>
  <si>
    <t>PUB.PA</t>
  </si>
  <si>
    <t>Publicis Groupe S.A.</t>
  </si>
  <si>
    <t>EN.PA</t>
  </si>
  <si>
    <t>Bouygues SA</t>
  </si>
  <si>
    <t>DSY.PA</t>
  </si>
  <si>
    <t>Dassault Systèmes SE</t>
  </si>
  <si>
    <t>SGO.PA</t>
  </si>
  <si>
    <t>Compagnie de Saint-Gobain S.A.</t>
  </si>
  <si>
    <t>ML.PA</t>
  </si>
  <si>
    <t>Compagnie Générale des Établissements Michelin Société en commandite par actions</t>
  </si>
  <si>
    <t>URW.PA</t>
  </si>
  <si>
    <t>Unibail-Rodamco-Westfield SE</t>
  </si>
  <si>
    <t>ATO.PA</t>
  </si>
  <si>
    <t>Atos SE</t>
  </si>
  <si>
    <t>STM.PA</t>
  </si>
  <si>
    <t>Company STM.PA</t>
  </si>
  <si>
    <t>GLE.PA</t>
  </si>
  <si>
    <t>Société Générale Société anonyme</t>
  </si>
  <si>
    <t>VIE.PA</t>
  </si>
  <si>
    <t>Veolia Environnement SA</t>
  </si>
  <si>
    <t>WLN.PA</t>
  </si>
  <si>
    <t>Worldline SA</t>
  </si>
  <si>
    <t>TEP.PA</t>
  </si>
  <si>
    <t>Teleperformance SE</t>
  </si>
  <si>
    <t>BVI.PA</t>
  </si>
  <si>
    <t>Bureau Veritas SA</t>
  </si>
  <si>
    <t>ALO.PA</t>
  </si>
  <si>
    <t>Alstom SA</t>
  </si>
  <si>
    <t>MT.PA</t>
  </si>
  <si>
    <t>ArcelorMittal SA</t>
  </si>
  <si>
    <t>LR.PA</t>
  </si>
  <si>
    <t>Legrand SA</t>
  </si>
  <si>
    <t>SOP.PA</t>
  </si>
  <si>
    <t>Sopra Steria Group SA</t>
  </si>
  <si>
    <t>STLA.PA</t>
  </si>
  <si>
    <t>Company STLA.PA</t>
  </si>
  <si>
    <t>ENGI.PA</t>
  </si>
  <si>
    <t>Engie SA</t>
  </si>
  <si>
    <t>ORA.PA</t>
  </si>
  <si>
    <t>Orange S.A.</t>
  </si>
  <si>
    <t>FP.PA</t>
  </si>
  <si>
    <t>Company FP.PA</t>
  </si>
  <si>
    <t>FGR.PA</t>
  </si>
  <si>
    <t>Eiffage SA</t>
  </si>
  <si>
    <t>SAN.MC</t>
  </si>
  <si>
    <t>Banco Santander, S.A.</t>
  </si>
  <si>
    <t>BME (IBEX 35)</t>
  </si>
  <si>
    <t>BBVA.MC</t>
  </si>
  <si>
    <t>Banco Bilbao Vizcaya Argentaria, S.A.</t>
  </si>
  <si>
    <t>ITX.MC</t>
  </si>
  <si>
    <t>Industria de Diseño Textil, S.A.</t>
  </si>
  <si>
    <t>IBE.MC</t>
  </si>
  <si>
    <t>Iberdrola, S.A.</t>
  </si>
  <si>
    <t>TEF.MC</t>
  </si>
  <si>
    <t>Telefónica, S.A.</t>
  </si>
  <si>
    <t>CABK.MC</t>
  </si>
  <si>
    <t>CaixaBank, S.A.</t>
  </si>
  <si>
    <t>REP.MC</t>
  </si>
  <si>
    <t>Repsol, S.A.</t>
  </si>
  <si>
    <t>ENG.MC</t>
  </si>
  <si>
    <t>Enagás, S.A.</t>
  </si>
  <si>
    <t>FER.MC</t>
  </si>
  <si>
    <t>Ferrovial SE</t>
  </si>
  <si>
    <t>ACS.MC</t>
  </si>
  <si>
    <t>ACS, Actividades de Construcción y Servicios, S.A.</t>
  </si>
  <si>
    <t>AENA.MC</t>
  </si>
  <si>
    <t>Aena S.M.E., S.A.</t>
  </si>
  <si>
    <t>IAG.MC</t>
  </si>
  <si>
    <t>SAB.MC</t>
  </si>
  <si>
    <t>Banco de Sabadell, S.A.</t>
  </si>
  <si>
    <t>MAP.MC</t>
  </si>
  <si>
    <t>Mapfre, S.A.</t>
  </si>
  <si>
    <t>ANA.MC</t>
  </si>
  <si>
    <t>Acciona, S.A.</t>
  </si>
  <si>
    <t>CLNX.MC</t>
  </si>
  <si>
    <t>Cellnex Telecom, S.A.</t>
  </si>
  <si>
    <t>GRF.MC</t>
  </si>
  <si>
    <t>Grifols, S.A.</t>
  </si>
  <si>
    <t>RED.MC</t>
  </si>
  <si>
    <t>Redeia Corporación, S.A.</t>
  </si>
  <si>
    <t>MRL.MC</t>
  </si>
  <si>
    <t>MERLIN Properties SOCIMI, S.A.</t>
  </si>
  <si>
    <t>COL.MC</t>
  </si>
  <si>
    <t>Inmobiliaria Colonial, SOCIMI, S.A.</t>
  </si>
  <si>
    <t>ACX.MC</t>
  </si>
  <si>
    <t>Acerinox, S.A.</t>
  </si>
  <si>
    <t>IDR.MC</t>
  </si>
  <si>
    <t>Indra Sistemas, S.A.</t>
  </si>
  <si>
    <t>MTS.MC</t>
  </si>
  <si>
    <t>ArcelorMittal S.A.</t>
  </si>
  <si>
    <t>MEL.MC</t>
  </si>
  <si>
    <t>Meliá Hotels International, S.A.</t>
  </si>
  <si>
    <t>BKIA.MC</t>
  </si>
  <si>
    <t>Company BKIA.MC</t>
  </si>
  <si>
    <t>FDR.MC</t>
  </si>
  <si>
    <t>Fluidra, S.A.</t>
  </si>
  <si>
    <t>AMS.MC</t>
  </si>
  <si>
    <t>Amadeus IT Group, S.A.</t>
  </si>
  <si>
    <t>LOG.MC</t>
  </si>
  <si>
    <t>Logista Integral, S.A.</t>
  </si>
  <si>
    <t>ELE.MC</t>
  </si>
  <si>
    <t>Endesa, S.A.</t>
  </si>
  <si>
    <t>NTGY.MC</t>
  </si>
  <si>
    <t>Naturgy Energy Group, S.A.</t>
  </si>
  <si>
    <t>VIS.MC</t>
  </si>
  <si>
    <t>Viscofan, S.A.</t>
  </si>
  <si>
    <t>BKT.MC</t>
  </si>
  <si>
    <t>Bankinter, S.A.</t>
  </si>
  <si>
    <t>UNI.MC</t>
  </si>
  <si>
    <t>Unicaja Banco, S.A.</t>
  </si>
  <si>
    <t>ALM.MC</t>
  </si>
  <si>
    <t>Almirall, S.A.</t>
  </si>
  <si>
    <t>SCYR.MC</t>
  </si>
  <si>
    <t>Sacyr, S.A.</t>
  </si>
  <si>
    <t>TSE (Tokyo Stock Exchange)</t>
  </si>
  <si>
    <t>SoftBank Group Corp.</t>
  </si>
  <si>
    <t>9434.T</t>
  </si>
  <si>
    <t>SoftBank Corp.</t>
  </si>
  <si>
    <t>8306.T</t>
  </si>
  <si>
    <t>Mitsubishi UFJ Financial Group, Inc.</t>
  </si>
  <si>
    <t>7974.T</t>
  </si>
  <si>
    <t>Nintendo Co., Ltd.</t>
  </si>
  <si>
    <t>8035.T</t>
  </si>
  <si>
    <t>Tokyo Electron Limited</t>
  </si>
  <si>
    <t>4063.T</t>
  </si>
  <si>
    <t>Shin-Etsu Chemical Co., Ltd.</t>
  </si>
  <si>
    <t>6902.T</t>
  </si>
  <si>
    <t>DENSO Corporation</t>
  </si>
  <si>
    <t>9433.T</t>
  </si>
  <si>
    <t>KDDI Corporation</t>
  </si>
  <si>
    <t>4502.T</t>
  </si>
  <si>
    <t>Takeda Pharmaceutical Company Limited</t>
  </si>
  <si>
    <t>8058.T</t>
  </si>
  <si>
    <t>Mitsubishi Corporation</t>
  </si>
  <si>
    <t>7267.T</t>
  </si>
  <si>
    <t>Honda Motor Co., Ltd.</t>
  </si>
  <si>
    <t>4568.T</t>
  </si>
  <si>
    <t>Daiichi Sankyo Company, Limited</t>
  </si>
  <si>
    <t>6178.T</t>
  </si>
  <si>
    <t>Japan Post Holdings Co., Ltd.</t>
  </si>
  <si>
    <t>8031.T</t>
  </si>
  <si>
    <t>Mitsui &amp; Co., Ltd.</t>
  </si>
  <si>
    <t>9432.T</t>
  </si>
  <si>
    <t>NTT, Inc.</t>
  </si>
  <si>
    <t>8316.T</t>
  </si>
  <si>
    <t>Sumitomo Mitsui Financial Group, Inc.</t>
  </si>
  <si>
    <t>4755.T</t>
  </si>
  <si>
    <t>Rakuten Group, Inc.</t>
  </si>
  <si>
    <t>6501.T</t>
  </si>
  <si>
    <t>Hitachi, Ltd.</t>
  </si>
  <si>
    <t>6367.T</t>
  </si>
  <si>
    <t>Daikin Industries,Ltd.</t>
  </si>
  <si>
    <t>6273.T</t>
  </si>
  <si>
    <t>SMC Corporation</t>
  </si>
  <si>
    <t>4661.T</t>
  </si>
  <si>
    <t>Oriental Land Co., Ltd.</t>
  </si>
  <si>
    <t>4704.T</t>
  </si>
  <si>
    <t>Trend Micro Incorporated</t>
  </si>
  <si>
    <t>6098.T</t>
  </si>
  <si>
    <t>Recruit Holdings Co., Ltd.</t>
  </si>
  <si>
    <t>4911.T</t>
  </si>
  <si>
    <t>Shiseido Company, Limited</t>
  </si>
  <si>
    <t>8766.T</t>
  </si>
  <si>
    <t>Tokio Marine Holdings, Inc.</t>
  </si>
  <si>
    <t>8750.T</t>
  </si>
  <si>
    <t>Dai-ichi Life Holdings, Inc.</t>
  </si>
  <si>
    <t>3382.T</t>
  </si>
  <si>
    <t>Seven &amp; i Holdings Co., Ltd.</t>
  </si>
  <si>
    <t>8604.T</t>
  </si>
  <si>
    <t>Nomura Holdings, Inc.</t>
  </si>
  <si>
    <t>4503.T</t>
  </si>
  <si>
    <t>Astellas Pharma Inc.</t>
  </si>
  <si>
    <t>4507.T</t>
  </si>
  <si>
    <t>Shionogi &amp; Co., Ltd.</t>
  </si>
  <si>
    <t>6971.T</t>
  </si>
  <si>
    <t>Kyocera Corporation</t>
  </si>
  <si>
    <t>6326.T</t>
  </si>
  <si>
    <t>Kubota Corporation</t>
  </si>
  <si>
    <t>7751.T</t>
  </si>
  <si>
    <t>Canon Inc.</t>
  </si>
  <si>
    <t>6857.T</t>
  </si>
  <si>
    <t>Advantest Corporation</t>
  </si>
  <si>
    <t>8001.T</t>
  </si>
  <si>
    <t>ITOCHU Corporation</t>
  </si>
  <si>
    <t>8002.T</t>
  </si>
  <si>
    <t>Marubeni Corporation</t>
  </si>
  <si>
    <t>NYSE/NASDAQ/HKEX (China)</t>
  </si>
  <si>
    <t>Baidu, Inc.</t>
  </si>
  <si>
    <t>JD.com, Inc.</t>
  </si>
  <si>
    <t>PDD Holdings Inc.</t>
  </si>
  <si>
    <t>NIO Inc.</t>
  </si>
  <si>
    <t>KE Holdings Inc.</t>
  </si>
  <si>
    <t>Li Auto Inc.</t>
  </si>
  <si>
    <t>XPeng Inc.</t>
  </si>
  <si>
    <t>Bilibili Inc.</t>
  </si>
  <si>
    <t>TENCENT</t>
  </si>
  <si>
    <t>CHINA MOBILE</t>
  </si>
  <si>
    <t>0939.HK</t>
  </si>
  <si>
    <t>3988.HK</t>
  </si>
  <si>
    <t>Bank of China Limited</t>
  </si>
  <si>
    <t>2318.HK</t>
  </si>
  <si>
    <t>Ping An Insurance (Group) Company of China, Ltd.</t>
  </si>
  <si>
    <t>1398.HK</t>
  </si>
  <si>
    <t>ICBC</t>
  </si>
  <si>
    <t>0005.HK</t>
  </si>
  <si>
    <t>HSBC HOLDINGS</t>
  </si>
  <si>
    <t>1288.HK</t>
  </si>
  <si>
    <t>ABC</t>
  </si>
  <si>
    <t>0388.HK</t>
  </si>
  <si>
    <t>HKEX</t>
  </si>
  <si>
    <t>1024.HK</t>
  </si>
  <si>
    <t>KUAISHOU-W</t>
  </si>
  <si>
    <t>2020.HK</t>
  </si>
  <si>
    <t>ANTA Sports Products Limited</t>
  </si>
  <si>
    <t>0002.HK</t>
  </si>
  <si>
    <t>CLP HOLDINGS</t>
  </si>
  <si>
    <t>0001.HK</t>
  </si>
  <si>
    <t>CK Hutchison Holdings Limited</t>
  </si>
  <si>
    <t>NSE/NYSE (India)</t>
  </si>
  <si>
    <t>HDFCBANK.NS</t>
  </si>
  <si>
    <t>HDFC Bank Limited</t>
  </si>
  <si>
    <t>HINDUNILVR.NS</t>
  </si>
  <si>
    <t>Hindustan Unilever Limited</t>
  </si>
  <si>
    <t>ICICIBANK.NS</t>
  </si>
  <si>
    <t>ICICI Bank Limited</t>
  </si>
  <si>
    <t>BHARTIARTL.NS</t>
  </si>
  <si>
    <t>Bharti Airtel Limited</t>
  </si>
  <si>
    <t>SBIN.NS</t>
  </si>
  <si>
    <t>State Bank of India</t>
  </si>
  <si>
    <t>BAJFINANCE.NS</t>
  </si>
  <si>
    <t>Bajaj Finance Limited</t>
  </si>
  <si>
    <t>ITC.NS</t>
  </si>
  <si>
    <t>ITC Limited</t>
  </si>
  <si>
    <t>KOTAKBANK.NS</t>
  </si>
  <si>
    <t>Kotak Mahindra Bank Limited</t>
  </si>
  <si>
    <t>LT.NS</t>
  </si>
  <si>
    <t>Larsen &amp; Toubro Limited</t>
  </si>
  <si>
    <t>AXISBANK.NS</t>
  </si>
  <si>
    <t>Axis Bank Limited</t>
  </si>
  <si>
    <t>ASIANPAINT.NS</t>
  </si>
  <si>
    <t>Asian Paints Limited</t>
  </si>
  <si>
    <t>MARUTI.NS</t>
  </si>
  <si>
    <t>Maruti Suzuki India Limited</t>
  </si>
  <si>
    <t>HCLTECH.NS</t>
  </si>
  <si>
    <t>HCL Technologies Limited</t>
  </si>
  <si>
    <t>WIPRO</t>
  </si>
  <si>
    <t>Company WIPRO</t>
  </si>
  <si>
    <t>ASX (Australia)</t>
  </si>
  <si>
    <t>NAB.AX</t>
  </si>
  <si>
    <t>National Australia Bank Limited</t>
  </si>
  <si>
    <t>WBC.AX</t>
  </si>
  <si>
    <t>Westpac Banking Corporation</t>
  </si>
  <si>
    <t>ANZ.AX</t>
  </si>
  <si>
    <t>ANZ Group Holdings Limited</t>
  </si>
  <si>
    <t>WES.AX</t>
  </si>
  <si>
    <t>Wesfarmers Limited</t>
  </si>
  <si>
    <t>MQG.AX</t>
  </si>
  <si>
    <t>Macquarie Group Limited</t>
  </si>
  <si>
    <t>WOW.AX</t>
  </si>
  <si>
    <t>Woolworths Group Limited</t>
  </si>
  <si>
    <t>FMG.AX</t>
  </si>
  <si>
    <t>Fortescue Ltd</t>
  </si>
  <si>
    <t>RIO.AX</t>
  </si>
  <si>
    <t>TLS.AX</t>
  </si>
  <si>
    <t>Telstra Group Limited</t>
  </si>
  <si>
    <t>WDS.AX</t>
  </si>
  <si>
    <t>GMG.AX</t>
  </si>
  <si>
    <t>Goodman Group</t>
  </si>
  <si>
    <t>QBE.AX</t>
  </si>
  <si>
    <t>QBE Insurance Group Limited</t>
  </si>
  <si>
    <t>Shopify Inc.</t>
  </si>
  <si>
    <t>TSX/NYSE (Canada)</t>
  </si>
  <si>
    <t>ENB.TO</t>
  </si>
  <si>
    <t>Enbridge Inc.</t>
  </si>
  <si>
    <t>CNQ.TO</t>
  </si>
  <si>
    <t>Canadian Natural Resources Limited</t>
  </si>
  <si>
    <t>BMO.TO</t>
  </si>
  <si>
    <t>BNS.TO</t>
  </si>
  <si>
    <t>The Bank of Nova Scotia</t>
  </si>
  <si>
    <t>CM.TO</t>
  </si>
  <si>
    <t>Canadian Imperial Bank of Commerce</t>
  </si>
  <si>
    <t>TRI.TO</t>
  </si>
  <si>
    <t>Thomson Reuters Corporation</t>
  </si>
  <si>
    <t>CNR.TO</t>
  </si>
  <si>
    <t>CP.TO</t>
  </si>
  <si>
    <t>Canadian Pacific Kansas City Limited</t>
  </si>
  <si>
    <t>SU.TO</t>
  </si>
  <si>
    <t>Suncor Energy Inc.</t>
  </si>
  <si>
    <t>BCE.TO</t>
  </si>
  <si>
    <t>BCE Inc.</t>
  </si>
  <si>
    <t>T.TO</t>
  </si>
  <si>
    <t>TELUS Corporation</t>
  </si>
  <si>
    <t>WCN.TO</t>
  </si>
  <si>
    <t>Waste Connections, Inc.</t>
  </si>
  <si>
    <t>NYSE/B3 (Brazil)</t>
  </si>
  <si>
    <t>Petróleo Brasileiro S.A. - Petrobras</t>
  </si>
  <si>
    <t>Itaú Unibanco Holding S.A.</t>
  </si>
  <si>
    <t>Nu Holdings Ltd.</t>
  </si>
  <si>
    <t>CBD</t>
  </si>
  <si>
    <t>Company CBD</t>
  </si>
  <si>
    <t>Companhia de Saneamento Básico do Estado de São Paulo - SABESP</t>
  </si>
  <si>
    <t>Centrais Elétricas Brasileiras S.A. - Eletrobrás</t>
  </si>
  <si>
    <t>BBDC4.SA</t>
  </si>
  <si>
    <t>B3SA3.SA</t>
  </si>
  <si>
    <t>B3 S.A. - Brasil, Bolsa, Balcão</t>
  </si>
  <si>
    <t>ABEV3.SA</t>
  </si>
  <si>
    <t>Nestlé S.A.</t>
  </si>
  <si>
    <t>SIX (Switzerland)</t>
  </si>
  <si>
    <t>The Swatch Group AG</t>
  </si>
  <si>
    <t>ABBN.SW</t>
  </si>
  <si>
    <t>ABB Ltd</t>
  </si>
  <si>
    <t>ZURN.SW</t>
  </si>
  <si>
    <t>Zurich Insurance Group AG</t>
  </si>
  <si>
    <t>SREN.SW</t>
  </si>
  <si>
    <t>Swiss Re AG</t>
  </si>
  <si>
    <t>GIVN.SW</t>
  </si>
  <si>
    <t>Givaudan SA</t>
  </si>
  <si>
    <t>LONN.SW</t>
  </si>
  <si>
    <t>Lonza Group AG</t>
  </si>
  <si>
    <t>SLHN.SW</t>
  </si>
  <si>
    <t>Swiss Life Holding AG</t>
  </si>
  <si>
    <t>CFR.SW</t>
  </si>
  <si>
    <t>Compagnie Financière Richemont SA</t>
  </si>
  <si>
    <t>SCMN.SW</t>
  </si>
  <si>
    <t>Swisscom AG</t>
  </si>
  <si>
    <t>ALC.SW</t>
  </si>
  <si>
    <t>Alcon Inc.</t>
  </si>
  <si>
    <t>SIKA.SW</t>
  </si>
  <si>
    <t>Sika AG</t>
  </si>
  <si>
    <t>005930.KS</t>
  </si>
  <si>
    <t>Samsung Electronics Co., Ltd.</t>
  </si>
  <si>
    <t>KRX (Korea)</t>
  </si>
  <si>
    <t>000660.KS</t>
  </si>
  <si>
    <t>SK hynix Inc.</t>
  </si>
  <si>
    <t>035420.KS</t>
  </si>
  <si>
    <t>NAVER Corporation</t>
  </si>
  <si>
    <t>051910.KS</t>
  </si>
  <si>
    <t>LG Chem, Ltd.</t>
  </si>
  <si>
    <t>005380.KS</t>
  </si>
  <si>
    <t>Hyundai Motor Company</t>
  </si>
  <si>
    <t>006400.KS</t>
  </si>
  <si>
    <t>Samsung SDI Co., Ltd.</t>
  </si>
  <si>
    <t>035720.KS</t>
  </si>
  <si>
    <t>Kakao Corp.</t>
  </si>
  <si>
    <t>068270.KS</t>
  </si>
  <si>
    <t>Celltrion, Inc.</t>
  </si>
  <si>
    <t>105560.KS</t>
  </si>
  <si>
    <t>KB Financial Group Inc.</t>
  </si>
  <si>
    <t>207940.KS</t>
  </si>
  <si>
    <t>Samsung Biologics Co.,Ltd.</t>
  </si>
  <si>
    <t>005490.KS</t>
  </si>
  <si>
    <t>POSCO Holdings Inc.</t>
  </si>
  <si>
    <t>012330.KS</t>
  </si>
  <si>
    <t>Hyundai Mobis Co.,Ltd</t>
  </si>
  <si>
    <t>ENEL.MI</t>
  </si>
  <si>
    <t>Enel SpA</t>
  </si>
  <si>
    <t>Borsa Italiana</t>
  </si>
  <si>
    <t>ENI.MI</t>
  </si>
  <si>
    <t>Eni S.p.A.</t>
  </si>
  <si>
    <t>ISP.MI</t>
  </si>
  <si>
    <t>Intesa Sanpaolo S.p.A.</t>
  </si>
  <si>
    <t>UCG.MI</t>
  </si>
  <si>
    <t>UniCredit S.p.A.</t>
  </si>
  <si>
    <t>G.MI</t>
  </si>
  <si>
    <t>Assicurazioni Generali S.p.A.</t>
  </si>
  <si>
    <t>TIT.MI</t>
  </si>
  <si>
    <t>Telecom Italia S.p.A.</t>
  </si>
  <si>
    <t>STM.MI</t>
  </si>
  <si>
    <t>Company STM.MI</t>
  </si>
  <si>
    <t>RACE.MI</t>
  </si>
  <si>
    <t>CPR.MI</t>
  </si>
  <si>
    <t>Davide Campari-Milano N.V.</t>
  </si>
  <si>
    <t>ATL.MI</t>
  </si>
  <si>
    <t>Company ATL.MI</t>
  </si>
  <si>
    <t>BAMI.MI</t>
  </si>
  <si>
    <t>Banco BPM S.p.A.</t>
  </si>
  <si>
    <t>LDO.MI</t>
  </si>
  <si>
    <t>Leonardo S.p.a.</t>
  </si>
  <si>
    <t>MB.MI</t>
  </si>
  <si>
    <t>Mediobanca Banca di Credito Finanziario S.p.A.</t>
  </si>
  <si>
    <t>BGN.MI</t>
  </si>
  <si>
    <t>Banca Generali S.p.A.</t>
  </si>
  <si>
    <t>STLAM.MI</t>
  </si>
  <si>
    <t>Stellantis N.V.</t>
  </si>
  <si>
    <t>INGA.AS</t>
  </si>
  <si>
    <t>PHIA.AS</t>
  </si>
  <si>
    <t>AD.AS</t>
  </si>
  <si>
    <t>Koninklijke Ahold Delhaize N.V.</t>
  </si>
  <si>
    <t>HEIA.AS</t>
  </si>
  <si>
    <t>Heineken N.V.</t>
  </si>
  <si>
    <t>ADYEN.AS</t>
  </si>
  <si>
    <t>Adyen N.V.</t>
  </si>
  <si>
    <t>UNA.AS</t>
  </si>
  <si>
    <t>KPN.AS</t>
  </si>
  <si>
    <t>Koninklijke KPN N.V.</t>
  </si>
  <si>
    <t>ABN.AS</t>
  </si>
  <si>
    <t>ABN AMRO Bank N.V.</t>
  </si>
  <si>
    <t>REN.AS</t>
  </si>
  <si>
    <t>AKZA.AS</t>
  </si>
  <si>
    <t>Akzo Nobel N.V.</t>
  </si>
  <si>
    <t>WKL.AS</t>
  </si>
  <si>
    <t>Wolters Kluwer N.V.</t>
  </si>
  <si>
    <t>DSM.AS</t>
  </si>
  <si>
    <t>Company DSM.AS</t>
  </si>
  <si>
    <t>Forward P/E</t>
  </si>
  <si>
    <t>EBITDA Margin</t>
  </si>
  <si>
    <t>Net Margin</t>
  </si>
  <si>
    <t>Free Cash Flow</t>
  </si>
  <si>
    <t>CapEx</t>
  </si>
  <si>
    <t>Asset Turnover</t>
  </si>
  <si>
    <t>Total Debt</t>
  </si>
  <si>
    <t>Interest Coverage</t>
  </si>
  <si>
    <t>Current Ratio</t>
  </si>
  <si>
    <t>Quick Ratio</t>
  </si>
  <si>
    <t>Enterprise Value</t>
  </si>
  <si>
    <t>Dividend Yield</t>
  </si>
  <si>
    <t>P/E</t>
  </si>
  <si>
    <t>Operating CF</t>
  </si>
  <si>
    <t>Debt/Equity</t>
  </si>
  <si>
    <t>Net Debt/EBITDA</t>
  </si>
  <si>
    <t>Price/Book</t>
  </si>
  <si>
    <t>Price/Sales</t>
  </si>
  <si>
    <t>Next Fed: 2025-12-17</t>
  </si>
  <si>
    <t>15267,91 - 23958,47</t>
  </si>
  <si>
    <t>31136,58 - 52411,34</t>
  </si>
  <si>
    <t>76271,95 - 124752,53</t>
  </si>
  <si>
    <t>1,79 - 3,56</t>
  </si>
  <si>
    <t>PROFITABILITY</t>
  </si>
  <si>
    <t>CASH FLOW</t>
  </si>
  <si>
    <t>DEBT &amp; SOLVENCY</t>
  </si>
  <si>
    <t>LIQUIDITY</t>
  </si>
  <si>
    <t>VALUATION</t>
  </si>
  <si>
    <t>Precio dividido por beneficio</t>
  </si>
  <si>
    <t>P/E estimado futuro</t>
  </si>
  <si>
    <t>Ganancias operativas</t>
  </si>
  <si>
    <t>Margen operativo</t>
  </si>
  <si>
    <t>Margen neto</t>
  </si>
  <si>
    <t>Rentabilidad del capital</t>
  </si>
  <si>
    <t>Rentabilidad de activos</t>
  </si>
  <si>
    <t>Caja libre tras inversiones</t>
  </si>
  <si>
    <t>Caja generada por operaciones</t>
  </si>
  <si>
    <t>Gasto en activos</t>
  </si>
  <si>
    <t>Eficiencia de uso de activos</t>
  </si>
  <si>
    <t>Deuda total</t>
  </si>
  <si>
    <t>Apalancamiento</t>
  </si>
  <si>
    <t>Deuda neta sobre EBITDA</t>
  </si>
  <si>
    <t>Capacidad para pagar intereses</t>
  </si>
  <si>
    <t>Liquidez a corto plazo</t>
  </si>
  <si>
    <t>Liquidez inmediata</t>
  </si>
  <si>
    <t>Valor en mercado</t>
  </si>
  <si>
    <t>Valor total de la empresa</t>
  </si>
  <si>
    <t>Valor/EBITDA</t>
  </si>
  <si>
    <t>Precio vs valor contable</t>
  </si>
  <si>
    <t>Precio vs ventas</t>
  </si>
  <si>
    <t>Rentabilidad del dividendo</t>
  </si>
  <si>
    <t>Created by Iker and Ignasi</t>
  </si>
  <si>
    <t>ignasi.garcia.martin.e@gmail.com
ikergomez.data@gmail.com</t>
  </si>
  <si>
    <t>Calculation date: 7  december 2025</t>
  </si>
  <si>
    <t>Data source: yfinance API</t>
  </si>
  <si>
    <t xml:space="preserve">Sector </t>
  </si>
  <si>
    <t>Industry</t>
  </si>
  <si>
    <t>Sector</t>
  </si>
  <si>
    <t>Subindustry</t>
  </si>
  <si>
    <t>Information Technology</t>
  </si>
  <si>
    <t>Technology Hardware &amp; Equipment</t>
  </si>
  <si>
    <t>Technology Hardware, Storage &amp; Peripherals</t>
  </si>
  <si>
    <t>Software &amp; Services</t>
  </si>
  <si>
    <t>Software</t>
  </si>
  <si>
    <t>Communication Services</t>
  </si>
  <si>
    <t>Media &amp; Entertainment</t>
  </si>
  <si>
    <t>Interactive Media &amp; Services</t>
  </si>
  <si>
    <t>Consumer Discretionary</t>
  </si>
  <si>
    <t>Consumer Discretionary Distribution &amp; Retail</t>
  </si>
  <si>
    <t>Broadline Retail</t>
  </si>
  <si>
    <t>Semiconductors &amp; Semiconductor Equipment</t>
  </si>
  <si>
    <t>Automobiles &amp; Components</t>
  </si>
  <si>
    <t>Automobiles</t>
  </si>
  <si>
    <t>Financials</t>
  </si>
  <si>
    <t>Financial Services</t>
  </si>
  <si>
    <t>Health Care</t>
  </si>
  <si>
    <t>Health Care Equipment &amp; Services</t>
  </si>
  <si>
    <t>Health Care Providers &amp; Services</t>
  </si>
  <si>
    <t>Pharmaceuticals, Biotechnology &amp; Life Sciences</t>
  </si>
  <si>
    <t>Pharmaceuticals</t>
  </si>
  <si>
    <t>Banks</t>
  </si>
  <si>
    <t>Consumer Staples</t>
  </si>
  <si>
    <t>Household &amp; Personal Products</t>
  </si>
  <si>
    <t>Household Products</t>
  </si>
  <si>
    <t>Energy</t>
  </si>
  <si>
    <t>Oil, Gas &amp; Consumable Fuels</t>
  </si>
  <si>
    <t>Specialty Retail</t>
  </si>
  <si>
    <t>Biotechnology</t>
  </si>
  <si>
    <t>Food, Beverage &amp; Tobacco</t>
  </si>
  <si>
    <t>Beverages</t>
  </si>
  <si>
    <t>Consumer Staples Distribution &amp; Retail</t>
  </si>
  <si>
    <t>Life Sciences Tools &amp; Services</t>
  </si>
  <si>
    <t>Consumer Services</t>
  </si>
  <si>
    <t>Hotels, Restaurants &amp; Leisure</t>
  </si>
  <si>
    <t>IT Services</t>
  </si>
  <si>
    <t>Communications Equipment</t>
  </si>
  <si>
    <t>Health Care Equipment &amp; Supplies</t>
  </si>
  <si>
    <t>Consumer Durables &amp; Apparel</t>
  </si>
  <si>
    <t>Textiles, Apparel &amp; Luxury Goods</t>
  </si>
  <si>
    <t>Utilities</t>
  </si>
  <si>
    <t>Electric Utilities</t>
  </si>
  <si>
    <t>Entertainment</t>
  </si>
  <si>
    <t>Telecommunication Services</t>
  </si>
  <si>
    <t>Diversified Telecommunication Services</t>
  </si>
  <si>
    <t>Media</t>
  </si>
  <si>
    <t>Tobacco</t>
  </si>
  <si>
    <t>Industrials</t>
  </si>
  <si>
    <t>Transportation</t>
  </si>
  <si>
    <t>Air Freight &amp; Logistics</t>
  </si>
  <si>
    <t>Capital Goods</t>
  </si>
  <si>
    <t>Aerospace &amp; Defense</t>
  </si>
  <si>
    <t>Industrial Conglomerates</t>
  </si>
  <si>
    <t>Wireless Telecommunication Services</t>
  </si>
  <si>
    <t>Commercial  &amp; Professional Services</t>
  </si>
  <si>
    <t>Professional Services</t>
  </si>
  <si>
    <t>Food Products</t>
  </si>
  <si>
    <t>Ground Transportation</t>
  </si>
  <si>
    <t>Machinery</t>
  </si>
  <si>
    <t>Capital Markets</t>
  </si>
  <si>
    <t>Insurance</t>
  </si>
  <si>
    <t>Consumer Finance</t>
  </si>
  <si>
    <t>Personal Care Products</t>
  </si>
  <si>
    <t>Materials</t>
  </si>
  <si>
    <t>Metals &amp; Mining</t>
  </si>
  <si>
    <t>Multi-Utilities</t>
  </si>
  <si>
    <t>Construction Materials</t>
  </si>
  <si>
    <t>Passenger Airlines</t>
  </si>
  <si>
    <t>Utilities - Regulated Water</t>
  </si>
  <si>
    <t>Trading Companies &amp; Distributors</t>
  </si>
  <si>
    <t>Real Estate</t>
  </si>
  <si>
    <t>Equity Real Estate Investment Trusts (REITs)</t>
  </si>
  <si>
    <t>Diversified REITs</t>
  </si>
  <si>
    <t>Containers &amp; Packaging</t>
  </si>
  <si>
    <t>Chemicals</t>
  </si>
  <si>
    <t>Utilities - Diversified</t>
  </si>
  <si>
    <t>Auto Manufacturers</t>
  </si>
  <si>
    <t>Footwear &amp; Accessories</t>
  </si>
  <si>
    <t>Automobile Components</t>
  </si>
  <si>
    <t>Semiconductors</t>
  </si>
  <si>
    <t>Independent Power and Renewable Electricity Producers</t>
  </si>
  <si>
    <t>Farm &amp; Heavy Construction Machinery</t>
  </si>
  <si>
    <t>Real Estate Services</t>
  </si>
  <si>
    <t>Medical Devices</t>
  </si>
  <si>
    <t>Specialty Chemicals</t>
  </si>
  <si>
    <t>Drug Manufacturers - Specialty &amp; Generic</t>
  </si>
  <si>
    <t>Integrated Freight &amp; Logistics</t>
  </si>
  <si>
    <t>Restaurants</t>
  </si>
  <si>
    <t>Luxury Goods</t>
  </si>
  <si>
    <t>Drug Manufacturers - General</t>
  </si>
  <si>
    <t>Oil &amp; Gas Integrated</t>
  </si>
  <si>
    <t>Packaged Foods</t>
  </si>
  <si>
    <t>Specialty Industrial Machinery</t>
  </si>
  <si>
    <t>Insurance - Diversified</t>
  </si>
  <si>
    <t>Medical Instruments &amp; Supplies</t>
  </si>
  <si>
    <t>Information Technology Services</t>
  </si>
  <si>
    <t>Banks - Regional</t>
  </si>
  <si>
    <t>Engineering &amp; Construction</t>
  </si>
  <si>
    <t>Beverages - Wineries &amp; Distilleries</t>
  </si>
  <si>
    <t>Advertising Agencies</t>
  </si>
  <si>
    <t>Software - Application</t>
  </si>
  <si>
    <t>Building Products &amp; Equipment</t>
  </si>
  <si>
    <t>Auto Parts</t>
  </si>
  <si>
    <t>Retail REITs</t>
  </si>
  <si>
    <t>Specialty Business Services</t>
  </si>
  <si>
    <t>Railroads</t>
  </si>
  <si>
    <t>Steel</t>
  </si>
  <si>
    <t>Electrical Equipment &amp; Parts</t>
  </si>
  <si>
    <t>Telecom Services</t>
  </si>
  <si>
    <t>Utilities - Regulated Gas</t>
  </si>
  <si>
    <t>Construction &amp; Engineering</t>
  </si>
  <si>
    <t>Transportation Infrastructure</t>
  </si>
  <si>
    <t>Airlines</t>
  </si>
  <si>
    <t>Banks - Diversified</t>
  </si>
  <si>
    <t>Utilities - Regulated Electric</t>
  </si>
  <si>
    <t>Office REITs</t>
  </si>
  <si>
    <t>Gas Utilities</t>
  </si>
  <si>
    <t>Household Durables</t>
  </si>
  <si>
    <t>Electronic Equipment, Instruments &amp; Components</t>
  </si>
  <si>
    <t>Building Products</t>
  </si>
  <si>
    <t>Real Estate Management &amp; Development</t>
  </si>
  <si>
    <t>Oil &amp; Gas Refining &amp; Marketing</t>
  </si>
  <si>
    <t>Credit Services</t>
  </si>
  <si>
    <t>Industrial REITs</t>
  </si>
  <si>
    <t>Commercial Services &amp; Supplies</t>
  </si>
  <si>
    <t>Water Utilities</t>
  </si>
  <si>
    <t>Insurance - Reinsurance</t>
  </si>
  <si>
    <t>Diagnostics &amp; Research</t>
  </si>
  <si>
    <t>Infrastructure Operations</t>
  </si>
  <si>
    <t>Beverages - Brewers</t>
  </si>
  <si>
    <t>Fundamental valuation</t>
  </si>
  <si>
    <t>Profitability</t>
  </si>
  <si>
    <t>Value</t>
  </si>
  <si>
    <t>Sector avg</t>
  </si>
  <si>
    <t>Valuation</t>
  </si>
  <si>
    <t>Category</t>
  </si>
  <si>
    <t>Simple English Explanation</t>
  </si>
  <si>
    <t>Ideal Value</t>
  </si>
  <si>
    <t>EPS (Earnings Per Share)</t>
  </si>
  <si>
    <t>Profit earned per share of stock.</t>
  </si>
  <si>
    <t>Higher is better</t>
  </si>
  <si>
    <t>P/E (Price-to-Earnings)</t>
  </si>
  <si>
    <t>How expensive the stock is compared to its earnings.</t>
  </si>
  <si>
    <r>
      <t>Lower is better</t>
    </r>
    <r>
      <rPr>
        <sz val="11"/>
        <color theme="1"/>
        <rFont val="Aptos Narrow"/>
        <family val="2"/>
        <scheme val="minor"/>
      </rPr>
      <t>, unless high growth</t>
    </r>
  </si>
  <si>
    <t>P/E based on expected future earnings.</t>
  </si>
  <si>
    <t>Profit before interest, taxes, depreciation, and amortization.</t>
  </si>
  <si>
    <t>% of revenue that remains after operating costs.</t>
  </si>
  <si>
    <t>% of revenue kept as final profit.</t>
  </si>
  <si>
    <t>ROE (Return on Equity)</t>
  </si>
  <si>
    <t>Efficiency using shareholder capital.</t>
  </si>
  <si>
    <t>ROA (Return on Assets)</t>
  </si>
  <si>
    <t>Efficiency using company assets.</t>
  </si>
  <si>
    <t>Cash Flow</t>
  </si>
  <si>
    <t>Cash available after costs and investments.</t>
  </si>
  <si>
    <t>Operating Cash Flow</t>
  </si>
  <si>
    <t>Cash from core operations.</t>
  </si>
  <si>
    <t>Money spent on long-term assets.</t>
  </si>
  <si>
    <r>
      <t>Depends</t>
    </r>
    <r>
      <rPr>
        <sz val="11"/>
        <color theme="1"/>
        <rFont val="Aptos Narrow"/>
        <family val="2"/>
        <scheme val="minor"/>
      </rPr>
      <t xml:space="preserve"> — high can mean growth, but hurts cash short-term</t>
    </r>
  </si>
  <si>
    <t>Efficiency in using assets to generate sales.</t>
  </si>
  <si>
    <t>Debt &amp; Solvency</t>
  </si>
  <si>
    <t>Total borrowed money.</t>
  </si>
  <si>
    <t>Lower is better</t>
  </si>
  <si>
    <t>Compares debt level to equity.</t>
  </si>
  <si>
    <t>Years of EBITDA needed to pay debt.</t>
  </si>
  <si>
    <r>
      <t>Lower is better</t>
    </r>
    <r>
      <rPr>
        <sz val="11"/>
        <color theme="1"/>
        <rFont val="Aptos Narrow"/>
        <family val="2"/>
        <scheme val="minor"/>
      </rPr>
      <t xml:space="preserve"> (below 3 ideal)</t>
    </r>
  </si>
  <si>
    <t>Ability to pay interest costs with profit.</t>
  </si>
  <si>
    <r>
      <t>Higher is better</t>
    </r>
    <r>
      <rPr>
        <sz val="11"/>
        <color theme="1"/>
        <rFont val="Aptos Narrow"/>
        <family val="2"/>
        <scheme val="minor"/>
      </rPr>
      <t xml:space="preserve"> (above 3–5 ideal)</t>
    </r>
  </si>
  <si>
    <t>Liquidity</t>
  </si>
  <si>
    <t>Ability to pay short-term liabilities.</t>
  </si>
  <si>
    <r>
      <t>Higher, but not too high</t>
    </r>
    <r>
      <rPr>
        <sz val="11"/>
        <color theme="1"/>
        <rFont val="Aptos Narrow"/>
        <family val="2"/>
        <scheme val="minor"/>
      </rPr>
      <t xml:space="preserve"> (Ideal: 1.5–2.5)</t>
    </r>
  </si>
  <si>
    <t>Stronger liquidity measure (no inventory).</t>
  </si>
  <si>
    <r>
      <t>Higher is better</t>
    </r>
    <r>
      <rPr>
        <sz val="11"/>
        <color theme="1"/>
        <rFont val="Aptos Narrow"/>
        <family val="2"/>
        <scheme val="minor"/>
      </rPr>
      <t xml:space="preserve"> (Ideal: ≥1)</t>
    </r>
  </si>
  <si>
    <t>Total market value of the company.</t>
  </si>
  <si>
    <r>
      <t>Neutral</t>
    </r>
    <r>
      <rPr>
        <sz val="11"/>
        <color theme="1"/>
        <rFont val="Aptos Narrow"/>
        <family val="2"/>
        <scheme val="minor"/>
      </rPr>
      <t xml:space="preserve"> — size preference depends</t>
    </r>
  </si>
  <si>
    <t>Enterprise Value (EV)</t>
  </si>
  <si>
    <t>Market cap + debt − cash.</t>
  </si>
  <si>
    <r>
      <t>Neutral</t>
    </r>
    <r>
      <rPr>
        <sz val="11"/>
        <color theme="1"/>
        <rFont val="Aptos Narrow"/>
        <family val="2"/>
        <scheme val="minor"/>
      </rPr>
      <t>, used for comparison</t>
    </r>
  </si>
  <si>
    <t>Company price relative to EBITDA.</t>
  </si>
  <si>
    <t>Price relative to book value.</t>
  </si>
  <si>
    <r>
      <t>Lower is better</t>
    </r>
    <r>
      <rPr>
        <sz val="11"/>
        <color theme="1"/>
        <rFont val="Aptos Narrow"/>
        <family val="2"/>
        <scheme val="minor"/>
      </rPr>
      <t>, unless high growth/assets-light business</t>
    </r>
  </si>
  <si>
    <t>Price relative to revenue.</t>
  </si>
  <si>
    <t>% return in dividends.</t>
  </si>
  <si>
    <r>
      <t>Higher is better</t>
    </r>
    <r>
      <rPr>
        <sz val="11"/>
        <color theme="1"/>
        <rFont val="Aptos Narrow"/>
        <family val="2"/>
        <scheme val="minor"/>
      </rPr>
      <t>, but too high may signal risk</t>
    </r>
  </si>
  <si>
    <t>Desired</t>
  </si>
  <si>
    <t>Desired detail</t>
  </si>
  <si>
    <t/>
  </si>
  <si>
    <t>Beneficio obtenido por acción.</t>
  </si>
  <si>
    <t>Cuántas veces pagas los beneficios actuales de la empresa.</t>
  </si>
  <si>
    <t>Relación precio/beneficios usando estimaciones futuras.</t>
  </si>
  <si>
    <t>Beneficio antes de intereses, impuestos y amortizaciones.</t>
  </si>
  <si>
    <t>Porcentaje de ingresos que queda como EBITDA.</t>
  </si>
  <si>
    <t>Porcentaje de ingresos que queda como beneficio final.</t>
  </si>
  <si>
    <t>Rentabilidad generada sobre el capital de los accionistas.</t>
  </si>
  <si>
    <t>Rentabilidad generada usando todos los activos de la empresa.</t>
  </si>
  <si>
    <t>Efectivo disponible después de gastos y CapEx.</t>
  </si>
  <si>
    <t>Efectivo generado por las operaciones principales del negocio.</t>
  </si>
  <si>
    <t>Dinero invertido en activos a largo plazo.</t>
  </si>
  <si>
    <t>Eficiencia para generar ventas a partir de los activos.</t>
  </si>
  <si>
    <t>Total de dinero que la empresa ha pedido prestado.</t>
  </si>
  <si>
    <t>Relación entre deuda y capital propio.</t>
  </si>
  <si>
    <t>Años de EBITDA necesarios para pagar la deuda neta.</t>
  </si>
  <si>
    <t>Capacidad de cubrir los pagos de intereses con beneficio operativo.</t>
  </si>
  <si>
    <t>Capacidad para pagar deudas de corto plazo con activos de corto plazo.</t>
  </si>
  <si>
    <t>Liquidez estricta para pagar deudas sin contar inventarios.</t>
  </si>
  <si>
    <t>Valor total de la empresa según el mercado.</t>
  </si>
  <si>
    <t>Valor de la empresa incluyendo deuda y descontando efectivo.</t>
  </si>
  <si>
    <t>Cuántas veces el EBITDA estás pagando al comprar la empresa.</t>
  </si>
  <si>
    <t>Relación entre el precio y el valor contable.</t>
  </si>
  <si>
    <t>Relación entre el precio y las ventas.</t>
  </si>
  <si>
    <t>Porcentaje del precio que recibes en dividendos cada año.</t>
  </si>
  <si>
    <t>Explicación detallada español</t>
  </si>
  <si>
    <t>Score (1-4)</t>
  </si>
  <si>
    <t>Total debt must be evaluated relative to the sector and capital structure.</t>
  </si>
  <si>
    <t>Result</t>
  </si>
  <si>
    <t>Evaluated relative to the sector and the capital structure</t>
  </si>
  <si>
    <t xml:space="preserve">1.  </t>
  </si>
  <si>
    <t xml:space="preserve">2.  </t>
  </si>
  <si>
    <t xml:space="preserve">3.  </t>
  </si>
  <si>
    <t xml:space="preserve">4.  </t>
  </si>
  <si>
    <t xml:space="preserve">5.  </t>
  </si>
  <si>
    <t xml:space="preserve">6.  </t>
  </si>
  <si>
    <t xml:space="preserve">7.  </t>
  </si>
  <si>
    <t xml:space="preserve">8.  </t>
  </si>
  <si>
    <t xml:space="preserve">9.  </t>
  </si>
  <si>
    <t xml:space="preserve">10.  </t>
  </si>
  <si>
    <t xml:space="preserve">11.  </t>
  </si>
  <si>
    <t xml:space="preserve">12.  </t>
  </si>
  <si>
    <t xml:space="preserve">13.  </t>
  </si>
  <si>
    <t xml:space="preserve">14.  </t>
  </si>
  <si>
    <t xml:space="preserve">15.  </t>
  </si>
  <si>
    <t xml:space="preserve">16.  </t>
  </si>
  <si>
    <t xml:space="preserve">17.  </t>
  </si>
  <si>
    <t xml:space="preserve">18.  </t>
  </si>
  <si>
    <t xml:space="preserve">19.  </t>
  </si>
  <si>
    <t xml:space="preserve">20.  </t>
  </si>
  <si>
    <t xml:space="preserve">21.  </t>
  </si>
  <si>
    <t xml:space="preserve">22.  </t>
  </si>
  <si>
    <t xml:space="preserve">23.  </t>
  </si>
  <si>
    <t xml:space="preserve">24.  </t>
  </si>
  <si>
    <t>Score (-8/8)</t>
  </si>
  <si>
    <t>Score (-2/2)</t>
  </si>
  <si>
    <t>Score (-3/3)</t>
  </si>
  <si>
    <t>Score (-4/4)</t>
  </si>
  <si>
    <t>Overall Score (-19 to 19)</t>
  </si>
  <si>
    <t>KPI Score (-10 to 10)</t>
  </si>
  <si>
    <t>Data from 5/12/2025</t>
  </si>
  <si>
    <t xml:space="preserve">Warning: This is not an investment recommendation. </t>
  </si>
  <si>
    <t>Valuation result</t>
  </si>
  <si>
    <t>Choose company:</t>
  </si>
  <si>
    <t>Ignasi Garcia</t>
  </si>
  <si>
    <t>Iker Gómez</t>
  </si>
  <si>
    <t>Created by Iker and Ignasi
Calculation date: 7  december 2025</t>
  </si>
  <si>
    <t>DATOS FUNDAMENTALES - TEF.MC:</t>
  </si>
  <si>
    <t>N/A</t>
  </si>
  <si>
    <t>Last data: 2026-01-03</t>
  </si>
  <si>
    <t>4982,77 - 6932,05</t>
  </si>
  <si>
    <t>37645,59 - 48731,16</t>
  </si>
  <si>
    <t>4622,14 - 5850,38</t>
  </si>
  <si>
    <t>55,27 - 80,04</t>
  </si>
  <si>
    <t>fb127d009da05f1bfa1511d6186d3772</t>
  </si>
  <si>
    <t xml:space="preserve">Write FRED API: </t>
  </si>
  <si>
    <t>Download: 2026-01-03 16:37</t>
  </si>
  <si>
    <t>52w %</t>
  </si>
  <si>
    <t>12,77 - 52,33</t>
  </si>
  <si>
    <t>2592,20 - 4529,10</t>
  </si>
  <si>
    <t>0,33 - 1,23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</si>
</sst>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€&quot;_-;\-* #,##0.00\ &quot;€&quot;_-;_-* &quot;-&quot;??\ &quot;€&quot;_-;_-@_-"/>
    <numFmt numFmtId="164" formatCode="yyyy\-mm\-dd\ hh:mm"/>
    <numFmt numFmtId="165" formatCode="0.0%"/>
    <numFmt numFmtId="167" formatCode="#,##0.0"/>
    <numFmt numFmtId="168" formatCode="0.0"/>
    <numFmt numFmtId="169" formatCode="_-[$$-409]* #,##0_ ;_-[$$-409]* \-#,##0\ ;_-[$$-409]* &quot;-&quot;??_ ;_-@_ 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rgb="FFFFFFFF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E65A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180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2" fillId="2" borderId="0" xfId="0" applyFont="1" applyFill="1" applyAlignment="1">
      <alignment vertical="center"/>
    </xf>
    <xf numFmtId="0" fontId="1" fillId="7" borderId="11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6" xfId="0" applyFont="1" applyFill="1" applyBorder="1" applyAlignment="1">
      <alignment horizontal="center"/>
    </xf>
    <xf numFmtId="0" fontId="1" fillId="7" borderId="12" xfId="0" applyFont="1" applyFill="1" applyBorder="1" applyAlignment="1">
      <alignment horizontal="center"/>
    </xf>
    <xf numFmtId="2" fontId="1" fillId="7" borderId="12" xfId="0" applyNumberFormat="1" applyFont="1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2" fontId="1" fillId="7" borderId="11" xfId="0" applyNumberFormat="1" applyFont="1" applyFill="1" applyBorder="1" applyAlignment="1">
      <alignment horizontal="center"/>
    </xf>
    <xf numFmtId="2" fontId="1" fillId="7" borderId="13" xfId="0" applyNumberFormat="1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4" fillId="5" borderId="0" xfId="0" applyFont="1" applyFill="1" applyAlignment="1">
      <alignment vertical="center"/>
    </xf>
    <xf numFmtId="0" fontId="7" fillId="0" borderId="1" xfId="0" applyFont="1" applyBorder="1" applyAlignment="1">
      <alignment horizontal="center" vertical="center"/>
    </xf>
    <xf numFmtId="10" fontId="0" fillId="0" borderId="0" xfId="1" applyNumberFormat="1" applyFont="1"/>
    <xf numFmtId="0" fontId="7" fillId="9" borderId="5" xfId="0" applyFont="1" applyFill="1" applyBorder="1" applyAlignment="1">
      <alignment horizontal="center" vertical="center"/>
    </xf>
    <xf numFmtId="0" fontId="7" fillId="9" borderId="1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7" borderId="6" xfId="0" applyFont="1" applyFill="1" applyBorder="1" applyAlignment="1">
      <alignment horizontal="center" vertical="center"/>
    </xf>
    <xf numFmtId="10" fontId="1" fillId="7" borderId="11" xfId="1" applyNumberFormat="1" applyFont="1" applyFill="1" applyBorder="1" applyAlignment="1">
      <alignment horizontal="center"/>
    </xf>
    <xf numFmtId="10" fontId="1" fillId="7" borderId="12" xfId="1" applyNumberFormat="1" applyFont="1" applyFill="1" applyBorder="1" applyAlignment="1">
      <alignment horizontal="center"/>
    </xf>
    <xf numFmtId="10" fontId="1" fillId="7" borderId="13" xfId="1" applyNumberFormat="1" applyFont="1" applyFill="1" applyBorder="1" applyAlignment="1">
      <alignment horizontal="center"/>
    </xf>
    <xf numFmtId="10" fontId="1" fillId="7" borderId="15" xfId="1" applyNumberFormat="1" applyFont="1" applyFill="1" applyBorder="1" applyAlignment="1">
      <alignment horizontal="center"/>
    </xf>
    <xf numFmtId="10" fontId="1" fillId="7" borderId="10" xfId="1" applyNumberFormat="1" applyFont="1" applyFill="1" applyBorder="1" applyAlignment="1">
      <alignment horizontal="center"/>
    </xf>
    <xf numFmtId="10" fontId="1" fillId="7" borderId="16" xfId="1" applyNumberFormat="1" applyFont="1" applyFill="1" applyBorder="1" applyAlignment="1">
      <alignment horizontal="center"/>
    </xf>
    <xf numFmtId="0" fontId="8" fillId="7" borderId="10" xfId="0" applyFont="1" applyFill="1" applyBorder="1" applyAlignment="1">
      <alignment horizontal="center" vertical="center"/>
    </xf>
    <xf numFmtId="2" fontId="8" fillId="7" borderId="11" xfId="0" applyNumberFormat="1" applyFont="1" applyFill="1" applyBorder="1" applyAlignment="1">
      <alignment horizontal="center" vertical="center"/>
    </xf>
    <xf numFmtId="2" fontId="8" fillId="7" borderId="12" xfId="0" applyNumberFormat="1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2" fontId="8" fillId="7" borderId="13" xfId="0" applyNumberFormat="1" applyFont="1" applyFill="1" applyBorder="1" applyAlignment="1">
      <alignment horizontal="center" vertical="center"/>
    </xf>
    <xf numFmtId="0" fontId="11" fillId="7" borderId="11" xfId="0" applyFont="1" applyFill="1" applyBorder="1" applyAlignment="1">
      <alignment horizontal="center" vertical="center"/>
    </xf>
    <xf numFmtId="0" fontId="11" fillId="7" borderId="12" xfId="0" applyFont="1" applyFill="1" applyBorder="1" applyAlignment="1">
      <alignment horizontal="center" vertical="center"/>
    </xf>
    <xf numFmtId="0" fontId="11" fillId="7" borderId="13" xfId="0" applyFont="1" applyFill="1" applyBorder="1" applyAlignment="1">
      <alignment horizontal="center" vertical="center"/>
    </xf>
    <xf numFmtId="2" fontId="8" fillId="7" borderId="15" xfId="0" applyNumberFormat="1" applyFont="1" applyFill="1" applyBorder="1" applyAlignment="1">
      <alignment horizontal="center" vertical="center"/>
    </xf>
    <xf numFmtId="2" fontId="8" fillId="7" borderId="10" xfId="0" applyNumberFormat="1" applyFont="1" applyFill="1" applyBorder="1" applyAlignment="1">
      <alignment horizontal="center" vertical="center"/>
    </xf>
    <xf numFmtId="2" fontId="8" fillId="7" borderId="16" xfId="0" applyNumberFormat="1" applyFont="1" applyFill="1" applyBorder="1" applyAlignment="1">
      <alignment horizontal="center" vertical="center"/>
    </xf>
    <xf numFmtId="2" fontId="1" fillId="7" borderId="14" xfId="0" applyNumberFormat="1" applyFont="1" applyFill="1" applyBorder="1" applyAlignment="1">
      <alignment horizontal="center" vertical="center"/>
    </xf>
    <xf numFmtId="2" fontId="1" fillId="7" borderId="22" xfId="0" applyNumberFormat="1" applyFont="1" applyFill="1" applyBorder="1" applyAlignment="1">
      <alignment horizontal="center" vertical="center"/>
    </xf>
    <xf numFmtId="10" fontId="1" fillId="7" borderId="17" xfId="0" applyNumberFormat="1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2" fontId="1" fillId="8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2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1" fillId="14" borderId="0" xfId="0" applyFont="1" applyFill="1" applyAlignment="1">
      <alignment horizontal="center"/>
    </xf>
    <xf numFmtId="14" fontId="10" fillId="0" borderId="0" xfId="2" applyNumberFormat="1" applyAlignment="1">
      <alignment wrapText="1"/>
    </xf>
    <xf numFmtId="0" fontId="7" fillId="9" borderId="1" xfId="0" applyFont="1" applyFill="1" applyBorder="1" applyAlignment="1">
      <alignment horizontal="center" vertical="center"/>
    </xf>
    <xf numFmtId="0" fontId="9" fillId="11" borderId="0" xfId="0" applyFont="1" applyFill="1"/>
    <xf numFmtId="0" fontId="0" fillId="7" borderId="6" xfId="0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7" borderId="7" xfId="0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65" fontId="0" fillId="0" borderId="0" xfId="1" applyNumberFormat="1" applyFont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165" fontId="0" fillId="0" borderId="12" xfId="1" applyNumberFormat="1" applyFont="1" applyBorder="1" applyAlignment="1">
      <alignment horizontal="center" vertical="center"/>
    </xf>
    <xf numFmtId="165" fontId="0" fillId="0" borderId="13" xfId="1" applyNumberFormat="1" applyFont="1" applyBorder="1" applyAlignment="1">
      <alignment horizontal="center" vertical="center"/>
    </xf>
    <xf numFmtId="0" fontId="0" fillId="0" borderId="15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5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6" xfId="0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0" fillId="18" borderId="12" xfId="0" applyFill="1" applyBorder="1" applyAlignment="1">
      <alignment horizontal="center" vertical="center"/>
    </xf>
    <xf numFmtId="168" fontId="0" fillId="0" borderId="12" xfId="0" applyNumberFormat="1" applyBorder="1" applyAlignment="1">
      <alignment horizontal="center" vertical="center"/>
    </xf>
    <xf numFmtId="169" fontId="0" fillId="0" borderId="12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10" fontId="0" fillId="0" borderId="12" xfId="1" applyNumberFormat="1" applyFont="1" applyBorder="1" applyAlignment="1">
      <alignment horizontal="center" vertical="center"/>
    </xf>
    <xf numFmtId="0" fontId="0" fillId="0" borderId="15" xfId="0" applyBorder="1" applyAlignment="1">
      <alignment horizont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9" fontId="0" fillId="0" borderId="11" xfId="0" applyNumberFormat="1" applyBorder="1" applyAlignment="1">
      <alignment horizontal="center" vertical="center"/>
    </xf>
    <xf numFmtId="167" fontId="0" fillId="0" borderId="12" xfId="0" applyNumberFormat="1" applyBorder="1" applyAlignment="1">
      <alignment horizontal="center" vertical="center"/>
    </xf>
    <xf numFmtId="167" fontId="0" fillId="0" borderId="13" xfId="0" applyNumberFormat="1" applyBorder="1" applyAlignment="1">
      <alignment horizontal="center" vertical="center"/>
    </xf>
    <xf numFmtId="0" fontId="0" fillId="18" borderId="11" xfId="0" applyFill="1" applyBorder="1" applyAlignment="1">
      <alignment horizontal="center" vertical="center"/>
    </xf>
    <xf numFmtId="0" fontId="0" fillId="18" borderId="13" xfId="0" applyFill="1" applyBorder="1" applyAlignment="1">
      <alignment horizontal="center" vertical="center"/>
    </xf>
    <xf numFmtId="2" fontId="0" fillId="0" borderId="12" xfId="1" applyNumberFormat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1" fillId="0" borderId="6" xfId="0" applyFon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14" fillId="19" borderId="6" xfId="0" applyFont="1" applyFill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169" fontId="0" fillId="0" borderId="15" xfId="0" applyNumberFormat="1" applyBorder="1" applyAlignment="1">
      <alignment horizontal="center" vertical="center"/>
    </xf>
    <xf numFmtId="169" fontId="0" fillId="0" borderId="10" xfId="0" applyNumberFormat="1" applyBorder="1" applyAlignment="1">
      <alignment horizontal="center" vertical="center"/>
    </xf>
    <xf numFmtId="167" fontId="0" fillId="0" borderId="10" xfId="0" applyNumberFormat="1" applyBorder="1" applyAlignment="1">
      <alignment horizontal="center" vertical="center"/>
    </xf>
    <xf numFmtId="168" fontId="0" fillId="0" borderId="12" xfId="1" applyNumberFormat="1" applyFont="1" applyBorder="1" applyAlignment="1">
      <alignment horizontal="center" vertical="center"/>
    </xf>
    <xf numFmtId="165" fontId="0" fillId="0" borderId="16" xfId="1" applyNumberFormat="1" applyFont="1" applyBorder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16" fillId="19" borderId="7" xfId="0" applyFont="1" applyFill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9" xfId="0" applyFont="1" applyFill="1" applyBorder="1" applyAlignment="1">
      <alignment horizontal="center" vertical="center"/>
    </xf>
    <xf numFmtId="0" fontId="1" fillId="12" borderId="7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7" borderId="7" xfId="0" applyFont="1" applyFill="1" applyBorder="1" applyAlignment="1">
      <alignment horizontal="center" vertical="center"/>
    </xf>
    <xf numFmtId="0" fontId="1" fillId="17" borderId="8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7" borderId="7" xfId="0" applyFont="1" applyFill="1" applyBorder="1" applyAlignment="1">
      <alignment horizontal="center" vertical="center"/>
    </xf>
    <xf numFmtId="0" fontId="1" fillId="7" borderId="9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1" fillId="13" borderId="7" xfId="0" applyFont="1" applyFill="1" applyBorder="1" applyAlignment="1">
      <alignment horizontal="center" vertical="center"/>
    </xf>
    <xf numFmtId="0" fontId="1" fillId="13" borderId="8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15" borderId="7" xfId="0" applyFont="1" applyFill="1" applyBorder="1" applyAlignment="1">
      <alignment horizontal="center" vertical="center"/>
    </xf>
    <xf numFmtId="0" fontId="1" fillId="15" borderId="8" xfId="0" applyFont="1" applyFill="1" applyBorder="1" applyAlignment="1">
      <alignment horizontal="center" vertical="center"/>
    </xf>
    <xf numFmtId="0" fontId="1" fillId="15" borderId="9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0" fontId="8" fillId="0" borderId="23" xfId="0" applyFont="1" applyBorder="1" applyAlignment="1">
      <alignment horizontal="center"/>
    </xf>
    <xf numFmtId="0" fontId="6" fillId="10" borderId="1" xfId="0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10" fillId="0" borderId="0" xfId="2" applyNumberFormat="1" applyAlignment="1">
      <alignment horizontal="left" vertical="center" wrapText="1"/>
    </xf>
    <xf numFmtId="0" fontId="10" fillId="0" borderId="0" xfId="2" applyAlignment="1">
      <alignment horizontal="left" vertical="center"/>
    </xf>
    <xf numFmtId="0" fontId="0" fillId="0" borderId="6" xfId="0" applyBorder="1"/>
    <xf numFmtId="0" fontId="1" fillId="0" borderId="0" xfId="0" applyFont="1" applyAlignment="1">
      <alignment horizontal="right"/>
    </xf>
    <xf numFmtId="4" fontId="1" fillId="7" borderId="11" xfId="0" applyNumberFormat="1" applyFont="1" applyFill="1" applyBorder="1" applyAlignment="1">
      <alignment horizontal="center" vertical="center"/>
    </xf>
    <xf numFmtId="4" fontId="1" fillId="7" borderId="12" xfId="0" applyNumberFormat="1" applyFont="1" applyFill="1" applyBorder="1" applyAlignment="1">
      <alignment horizontal="center" vertical="center"/>
    </xf>
    <xf numFmtId="4" fontId="1" fillId="7" borderId="13" xfId="0" applyNumberFormat="1" applyFont="1" applyFill="1" applyBorder="1" applyAlignment="1">
      <alignment horizontal="center" vertical="center"/>
    </xf>
  </cellXfs>
  <cellStyles count="4">
    <cellStyle name="Hyperlink" xfId="2" builtinId="8"/>
    <cellStyle name="Moneda 2" xfId="3" xr:uid="{711E1910-F3E2-4520-A7CA-F8DAA525FBE9}"/>
    <cellStyle name="Normal" xfId="0" builtinId="0"/>
    <cellStyle name="Per cent" xfId="1" builtinId="5"/>
  </cellStyles>
  <dxfs count="17"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4" formatCode="#,##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438150</xdr:colOff>
      <xdr:row>1</xdr:row>
      <xdr:rowOff>76200</xdr:rowOff>
    </xdr:from>
    <xdr:to>
      <xdr:col>23</xdr:col>
      <xdr:colOff>428625</xdr:colOff>
      <xdr:row>29</xdr:row>
      <xdr:rowOff>9525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1181ECA-D9F4-D610-57C7-4930424EC4C6}"/>
            </a:ext>
          </a:extLst>
        </xdr:cNvPr>
        <xdr:cNvSpPr txBox="1"/>
      </xdr:nvSpPr>
      <xdr:spPr>
        <a:xfrm>
          <a:off x="2266950" y="266700"/>
          <a:ext cx="12182475" cy="5267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ca-ES" sz="1100"/>
            <a:t>INSTRUCTIONS:</a:t>
          </a:r>
          <a:br>
            <a:rPr lang="ca-ES" sz="1100"/>
          </a:br>
          <a:endParaRPr lang="ca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41218</xdr:colOff>
      <xdr:row>10</xdr:row>
      <xdr:rowOff>125513</xdr:rowOff>
    </xdr:from>
    <xdr:to>
      <xdr:col>8</xdr:col>
      <xdr:colOff>282030</xdr:colOff>
      <xdr:row>10</xdr:row>
      <xdr:rowOff>288707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239B905-7732-B605-7F79-6403FD9551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7468" y="1639988"/>
          <a:ext cx="240812" cy="163194"/>
        </a:xfrm>
        <a:prstGeom prst="rect">
          <a:avLst/>
        </a:prstGeom>
      </xdr:spPr>
    </xdr:pic>
    <xdr:clientData/>
  </xdr:twoCellAnchor>
  <xdr:twoCellAnchor editAs="oneCell">
    <xdr:from>
      <xdr:col>7</xdr:col>
      <xdr:colOff>16422</xdr:colOff>
      <xdr:row>10</xdr:row>
      <xdr:rowOff>78244</xdr:rowOff>
    </xdr:from>
    <xdr:to>
      <xdr:col>7</xdr:col>
      <xdr:colOff>258510</xdr:colOff>
      <xdr:row>10</xdr:row>
      <xdr:rowOff>320824</xdr:rowOff>
    </xdr:to>
    <xdr:pic>
      <xdr:nvPicPr>
        <xdr:cNvPr id="4" name="Imagen 3" descr="Águila - Iconos gratis de animales">
          <a:extLst>
            <a:ext uri="{FF2B5EF4-FFF2-40B4-BE49-F238E27FC236}">
              <a16:creationId xmlns:a16="http://schemas.microsoft.com/office/drawing/2014/main" id="{F56F3024-DFE2-8CDB-CDC1-F836E02F6D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5922" y="1588637"/>
          <a:ext cx="242088" cy="242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</xdr:col>
      <xdr:colOff>535323</xdr:colOff>
      <xdr:row>2</xdr:row>
      <xdr:rowOff>171450</xdr:rowOff>
    </xdr:from>
    <xdr:to>
      <xdr:col>9</xdr:col>
      <xdr:colOff>2381250</xdr:colOff>
      <xdr:row>9</xdr:row>
      <xdr:rowOff>38100</xdr:rowOff>
    </xdr:to>
    <xdr:sp macro="[0]!DescargarDatosEconomico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9ED8964-906C-CB9C-3C4D-9023945C81BA}"/>
            </a:ext>
          </a:extLst>
        </xdr:cNvPr>
        <xdr:cNvSpPr/>
      </xdr:nvSpPr>
      <xdr:spPr>
        <a:xfrm>
          <a:off x="11479548" y="904875"/>
          <a:ext cx="1845927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 b="1"/>
            <a:t>Refresh DATA</a:t>
          </a:r>
        </a:p>
      </xdr:txBody>
    </xdr:sp>
    <xdr:clientData/>
  </xdr:twoCellAnchor>
  <xdr:twoCellAnchor>
    <xdr:from>
      <xdr:col>9</xdr:col>
      <xdr:colOff>544606</xdr:colOff>
      <xdr:row>19</xdr:row>
      <xdr:rowOff>767</xdr:rowOff>
    </xdr:from>
    <xdr:to>
      <xdr:col>9</xdr:col>
      <xdr:colOff>2371725</xdr:colOff>
      <xdr:row>21</xdr:row>
      <xdr:rowOff>95250</xdr:rowOff>
    </xdr:to>
    <xdr:sp macro="[0]!FillMacroEconomicAnalysi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2DB21CDC-4E50-4249-8E89-B08ED71BD292}"/>
            </a:ext>
          </a:extLst>
        </xdr:cNvPr>
        <xdr:cNvSpPr/>
      </xdr:nvSpPr>
      <xdr:spPr>
        <a:xfrm>
          <a:off x="11488831" y="4782317"/>
          <a:ext cx="1827119" cy="475483"/>
        </a:xfrm>
        <a:prstGeom prst="round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Update MARKETS</a:t>
          </a:r>
          <a:r>
            <a:rPr lang="es-ES" sz="1200" b="1" baseline="0"/>
            <a:t> data</a:t>
          </a:r>
          <a:endParaRPr lang="es-ES" sz="1200" b="1"/>
        </a:p>
      </xdr:txBody>
    </xdr:sp>
    <xdr:clientData/>
  </xdr:twoCellAnchor>
  <xdr:twoCellAnchor editAs="oneCell">
    <xdr:from>
      <xdr:col>0</xdr:col>
      <xdr:colOff>836544</xdr:colOff>
      <xdr:row>10</xdr:row>
      <xdr:rowOff>99393</xdr:rowOff>
    </xdr:from>
    <xdr:to>
      <xdr:col>0</xdr:col>
      <xdr:colOff>1027044</xdr:colOff>
      <xdr:row>10</xdr:row>
      <xdr:rowOff>288203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01243B1-7447-F77E-79A3-4174A79B5D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6544" y="1888436"/>
          <a:ext cx="190500" cy="188810"/>
        </a:xfrm>
        <a:prstGeom prst="rect">
          <a:avLst/>
        </a:prstGeom>
      </xdr:spPr>
    </xdr:pic>
    <xdr:clientData/>
  </xdr:twoCellAnchor>
  <xdr:oneCellAnchor>
    <xdr:from>
      <xdr:col>0</xdr:col>
      <xdr:colOff>836544</xdr:colOff>
      <xdr:row>11</xdr:row>
      <xdr:rowOff>99393</xdr:rowOff>
    </xdr:from>
    <xdr:ext cx="190500" cy="188810"/>
    <xdr:pic>
      <xdr:nvPicPr>
        <xdr:cNvPr id="8" name="Picture 7">
          <a:extLst>
            <a:ext uri="{FF2B5EF4-FFF2-40B4-BE49-F238E27FC236}">
              <a16:creationId xmlns:a16="http://schemas.microsoft.com/office/drawing/2014/main" id="{0C42CD62-3578-4A43-928B-3AA00008B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36544" y="1888436"/>
          <a:ext cx="190500" cy="18881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129125</xdr:colOff>
      <xdr:row>11</xdr:row>
      <xdr:rowOff>111791</xdr:rowOff>
    </xdr:from>
    <xdr:to>
      <xdr:col>3</xdr:col>
      <xdr:colOff>315220</xdr:colOff>
      <xdr:row>11</xdr:row>
      <xdr:rowOff>282656</xdr:rowOff>
    </xdr:to>
    <xdr:sp macro="" textlink="">
      <xdr:nvSpPr>
        <xdr:cNvPr id="3" name="Star: 5 Points 2">
          <a:extLst>
            <a:ext uri="{FF2B5EF4-FFF2-40B4-BE49-F238E27FC236}">
              <a16:creationId xmlns:a16="http://schemas.microsoft.com/office/drawing/2014/main" id="{CC9744F4-BD9C-4B1D-81EB-C032E7182DAB}"/>
            </a:ext>
          </a:extLst>
        </xdr:cNvPr>
        <xdr:cNvSpPr/>
      </xdr:nvSpPr>
      <xdr:spPr>
        <a:xfrm>
          <a:off x="5103292" y="2521535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122115</xdr:colOff>
      <xdr:row>12</xdr:row>
      <xdr:rowOff>89552</xdr:rowOff>
    </xdr:from>
    <xdr:to>
      <xdr:col>3</xdr:col>
      <xdr:colOff>308210</xdr:colOff>
      <xdr:row>12</xdr:row>
      <xdr:rowOff>260417</xdr:rowOff>
    </xdr:to>
    <xdr:sp macro="" textlink="">
      <xdr:nvSpPr>
        <xdr:cNvPr id="4" name="Star: 5 Points 3">
          <a:extLst>
            <a:ext uri="{FF2B5EF4-FFF2-40B4-BE49-F238E27FC236}">
              <a16:creationId xmlns:a16="http://schemas.microsoft.com/office/drawing/2014/main" id="{FED08026-DAA3-48D8-BE6F-6BB7A15A82B2}"/>
            </a:ext>
          </a:extLst>
        </xdr:cNvPr>
        <xdr:cNvSpPr/>
      </xdr:nvSpPr>
      <xdr:spPr>
        <a:xfrm>
          <a:off x="5096282" y="2898206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73269</xdr:colOff>
      <xdr:row>46</xdr:row>
      <xdr:rowOff>130256</xdr:rowOff>
    </xdr:from>
    <xdr:to>
      <xdr:col>3</xdr:col>
      <xdr:colOff>259364</xdr:colOff>
      <xdr:row>46</xdr:row>
      <xdr:rowOff>301121</xdr:rowOff>
    </xdr:to>
    <xdr:sp macro="" textlink="">
      <xdr:nvSpPr>
        <xdr:cNvPr id="5" name="Star: 5 Points 4">
          <a:extLst>
            <a:ext uri="{FF2B5EF4-FFF2-40B4-BE49-F238E27FC236}">
              <a16:creationId xmlns:a16="http://schemas.microsoft.com/office/drawing/2014/main" id="{02C69AA4-84F2-472E-9C85-B5B7634B9526}"/>
            </a:ext>
          </a:extLst>
        </xdr:cNvPr>
        <xdr:cNvSpPr/>
      </xdr:nvSpPr>
      <xdr:spPr>
        <a:xfrm>
          <a:off x="5047436" y="12952371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79130</xdr:colOff>
      <xdr:row>48</xdr:row>
      <xdr:rowOff>136117</xdr:rowOff>
    </xdr:from>
    <xdr:to>
      <xdr:col>3</xdr:col>
      <xdr:colOff>265225</xdr:colOff>
      <xdr:row>48</xdr:row>
      <xdr:rowOff>306982</xdr:rowOff>
    </xdr:to>
    <xdr:sp macro="" textlink="">
      <xdr:nvSpPr>
        <xdr:cNvPr id="6" name="Star: 5 Points 5">
          <a:extLst>
            <a:ext uri="{FF2B5EF4-FFF2-40B4-BE49-F238E27FC236}">
              <a16:creationId xmlns:a16="http://schemas.microsoft.com/office/drawing/2014/main" id="{1A39116E-CC8D-43E3-8BE4-C42D4A9AA17F}"/>
            </a:ext>
          </a:extLst>
        </xdr:cNvPr>
        <xdr:cNvSpPr/>
      </xdr:nvSpPr>
      <xdr:spPr>
        <a:xfrm>
          <a:off x="5053297" y="13625796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76850</xdr:colOff>
      <xdr:row>47</xdr:row>
      <xdr:rowOff>158261</xdr:rowOff>
    </xdr:from>
    <xdr:to>
      <xdr:col>3</xdr:col>
      <xdr:colOff>262945</xdr:colOff>
      <xdr:row>47</xdr:row>
      <xdr:rowOff>329126</xdr:rowOff>
    </xdr:to>
    <xdr:sp macro="" textlink="">
      <xdr:nvSpPr>
        <xdr:cNvPr id="7" name="Star: 5 Points 6">
          <a:extLst>
            <a:ext uri="{FF2B5EF4-FFF2-40B4-BE49-F238E27FC236}">
              <a16:creationId xmlns:a16="http://schemas.microsoft.com/office/drawing/2014/main" id="{13A18948-7886-48FE-B75F-7EEBD70306EB}"/>
            </a:ext>
          </a:extLst>
        </xdr:cNvPr>
        <xdr:cNvSpPr/>
      </xdr:nvSpPr>
      <xdr:spPr>
        <a:xfrm>
          <a:off x="5051017" y="13314158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122115</xdr:colOff>
      <xdr:row>14</xdr:row>
      <xdr:rowOff>88646</xdr:rowOff>
    </xdr:from>
    <xdr:to>
      <xdr:col>3</xdr:col>
      <xdr:colOff>308210</xdr:colOff>
      <xdr:row>14</xdr:row>
      <xdr:rowOff>259511</xdr:rowOff>
    </xdr:to>
    <xdr:sp macro="" textlink="">
      <xdr:nvSpPr>
        <xdr:cNvPr id="9" name="Star: 5 Points 8">
          <a:extLst>
            <a:ext uri="{FF2B5EF4-FFF2-40B4-BE49-F238E27FC236}">
              <a16:creationId xmlns:a16="http://schemas.microsoft.com/office/drawing/2014/main" id="{8A6128B5-755D-4060-A8E8-7DB94FAD127C}"/>
            </a:ext>
          </a:extLst>
        </xdr:cNvPr>
        <xdr:cNvSpPr/>
      </xdr:nvSpPr>
      <xdr:spPr>
        <a:xfrm>
          <a:off x="5108041" y="5333276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111694</xdr:colOff>
      <xdr:row>15</xdr:row>
      <xdr:rowOff>70990</xdr:rowOff>
    </xdr:from>
    <xdr:to>
      <xdr:col>3</xdr:col>
      <xdr:colOff>297789</xdr:colOff>
      <xdr:row>15</xdr:row>
      <xdr:rowOff>241855</xdr:rowOff>
    </xdr:to>
    <xdr:sp macro="" textlink="">
      <xdr:nvSpPr>
        <xdr:cNvPr id="10" name="Star: 5 Points 9">
          <a:extLst>
            <a:ext uri="{FF2B5EF4-FFF2-40B4-BE49-F238E27FC236}">
              <a16:creationId xmlns:a16="http://schemas.microsoft.com/office/drawing/2014/main" id="{3867F475-EC48-4AD1-BA64-7ACE28E391D1}"/>
            </a:ext>
          </a:extLst>
        </xdr:cNvPr>
        <xdr:cNvSpPr/>
      </xdr:nvSpPr>
      <xdr:spPr>
        <a:xfrm>
          <a:off x="5085861" y="3880990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113974</xdr:colOff>
      <xdr:row>16</xdr:row>
      <xdr:rowOff>73269</xdr:rowOff>
    </xdr:from>
    <xdr:to>
      <xdr:col>3</xdr:col>
      <xdr:colOff>300069</xdr:colOff>
      <xdr:row>16</xdr:row>
      <xdr:rowOff>244134</xdr:rowOff>
    </xdr:to>
    <xdr:sp macro="" textlink="">
      <xdr:nvSpPr>
        <xdr:cNvPr id="11" name="Star: 5 Points 10">
          <a:extLst>
            <a:ext uri="{FF2B5EF4-FFF2-40B4-BE49-F238E27FC236}">
              <a16:creationId xmlns:a16="http://schemas.microsoft.com/office/drawing/2014/main" id="{4A649F47-9AD0-4CDF-82CF-63E03C064359}"/>
            </a:ext>
          </a:extLst>
        </xdr:cNvPr>
        <xdr:cNvSpPr/>
      </xdr:nvSpPr>
      <xdr:spPr>
        <a:xfrm>
          <a:off x="5088141" y="4217051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3</xdr:col>
      <xdr:colOff>98480</xdr:colOff>
      <xdr:row>32</xdr:row>
      <xdr:rowOff>59663</xdr:rowOff>
    </xdr:from>
    <xdr:to>
      <xdr:col>3</xdr:col>
      <xdr:colOff>284575</xdr:colOff>
      <xdr:row>32</xdr:row>
      <xdr:rowOff>230528</xdr:rowOff>
    </xdr:to>
    <xdr:sp macro="" textlink="">
      <xdr:nvSpPr>
        <xdr:cNvPr id="12" name="Star: 5 Points 11">
          <a:extLst>
            <a:ext uri="{FF2B5EF4-FFF2-40B4-BE49-F238E27FC236}">
              <a16:creationId xmlns:a16="http://schemas.microsoft.com/office/drawing/2014/main" id="{C2A5837C-4F9F-4FD9-B28D-4A819444066D}"/>
            </a:ext>
          </a:extLst>
        </xdr:cNvPr>
        <xdr:cNvSpPr/>
      </xdr:nvSpPr>
      <xdr:spPr>
        <a:xfrm>
          <a:off x="5084406" y="9561144"/>
          <a:ext cx="186095" cy="17086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8</xdr:col>
      <xdr:colOff>199908</xdr:colOff>
      <xdr:row>53</xdr:row>
      <xdr:rowOff>70555</xdr:rowOff>
    </xdr:from>
    <xdr:to>
      <xdr:col>8</xdr:col>
      <xdr:colOff>429856</xdr:colOff>
      <xdr:row>53</xdr:row>
      <xdr:rowOff>308790</xdr:rowOff>
    </xdr:to>
    <xdr:sp macro="" textlink="">
      <xdr:nvSpPr>
        <xdr:cNvPr id="13" name="Star: 5 Points 12">
          <a:extLst>
            <a:ext uri="{FF2B5EF4-FFF2-40B4-BE49-F238E27FC236}">
              <a16:creationId xmlns:a16="http://schemas.microsoft.com/office/drawing/2014/main" id="{6A878C76-311D-48D8-87F0-1065DBBFDFB9}"/>
            </a:ext>
          </a:extLst>
        </xdr:cNvPr>
        <xdr:cNvSpPr/>
      </xdr:nvSpPr>
      <xdr:spPr>
        <a:xfrm>
          <a:off x="11723982" y="18391481"/>
          <a:ext cx="229948" cy="23823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ca-ES" sz="1100"/>
        </a:p>
      </xdr:txBody>
    </xdr:sp>
    <xdr:clientData/>
  </xdr:twoCellAnchor>
  <xdr:twoCellAnchor>
    <xdr:from>
      <xdr:col>6</xdr:col>
      <xdr:colOff>291353</xdr:colOff>
      <xdr:row>3</xdr:row>
      <xdr:rowOff>78442</xdr:rowOff>
    </xdr:from>
    <xdr:to>
      <xdr:col>8</xdr:col>
      <xdr:colOff>1554371</xdr:colOff>
      <xdr:row>4</xdr:row>
      <xdr:rowOff>156335</xdr:rowOff>
    </xdr:to>
    <xdr:sp macro="[0]!DescargarDatosFundamentalesYahoo" textlink="">
      <xdr:nvSpPr>
        <xdr:cNvPr id="16" name="Rectángulo: esquinas redondeadas 2">
          <a:extLst>
            <a:ext uri="{FF2B5EF4-FFF2-40B4-BE49-F238E27FC236}">
              <a16:creationId xmlns:a16="http://schemas.microsoft.com/office/drawing/2014/main" id="{DE9A49F0-2026-40BC-875F-47FA63ED7145}"/>
            </a:ext>
          </a:extLst>
        </xdr:cNvPr>
        <xdr:cNvSpPr/>
      </xdr:nvSpPr>
      <xdr:spPr>
        <a:xfrm>
          <a:off x="9099177" y="1591236"/>
          <a:ext cx="1778488" cy="514923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Click to</a:t>
          </a:r>
          <a:r>
            <a:rPr lang="es-ES" sz="1100" baseline="0">
              <a:solidFill>
                <a:schemeClr val="tx1"/>
              </a:solidFill>
            </a:rPr>
            <a:t> search</a:t>
          </a:r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836544</xdr:colOff>
      <xdr:row>4</xdr:row>
      <xdr:rowOff>99393</xdr:rowOff>
    </xdr:from>
    <xdr:to>
      <xdr:col>0</xdr:col>
      <xdr:colOff>1027044</xdr:colOff>
      <xdr:row>4</xdr:row>
      <xdr:rowOff>291295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44C24D-7063-4F70-BC5A-2ABA929C2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6544" y="1880568"/>
          <a:ext cx="190500" cy="188810"/>
        </a:xfrm>
        <a:prstGeom prst="rect">
          <a:avLst/>
        </a:prstGeom>
      </xdr:spPr>
    </xdr:pic>
    <xdr:clientData/>
  </xdr:twoCellAnchor>
  <xdr:oneCellAnchor>
    <xdr:from>
      <xdr:col>0</xdr:col>
      <xdr:colOff>829975</xdr:colOff>
      <xdr:row>5</xdr:row>
      <xdr:rowOff>40272</xdr:rowOff>
    </xdr:from>
    <xdr:ext cx="190500" cy="188810"/>
    <xdr:pic>
      <xdr:nvPicPr>
        <xdr:cNvPr id="8" name="Picture 7">
          <a:extLst>
            <a:ext uri="{FF2B5EF4-FFF2-40B4-BE49-F238E27FC236}">
              <a16:creationId xmlns:a16="http://schemas.microsoft.com/office/drawing/2014/main" id="{2FAD4BD1-9A70-4A68-98EF-6F9B94995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9975" y="2352548"/>
          <a:ext cx="190500" cy="18881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322032</xdr:colOff>
      <xdr:row>9</xdr:row>
      <xdr:rowOff>50983</xdr:rowOff>
    </xdr:from>
    <xdr:to>
      <xdr:col>14</xdr:col>
      <xdr:colOff>18627</xdr:colOff>
      <xdr:row>9</xdr:row>
      <xdr:rowOff>565906</xdr:rowOff>
    </xdr:to>
    <xdr:sp macro="[0]!DescargarDatosFundamentalesYaho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4066BEA-C53A-BA4F-2C62-5F0B9C81DBAD}"/>
            </a:ext>
          </a:extLst>
        </xdr:cNvPr>
        <xdr:cNvSpPr/>
      </xdr:nvSpPr>
      <xdr:spPr>
        <a:xfrm>
          <a:off x="13444120" y="2628336"/>
          <a:ext cx="1422301" cy="514923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</a:rPr>
            <a:t>Click to</a:t>
          </a:r>
          <a:r>
            <a:rPr lang="es-ES" sz="1100" baseline="0">
              <a:solidFill>
                <a:schemeClr val="tx1"/>
              </a:solidFill>
            </a:rPr>
            <a:t> search</a:t>
          </a:r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601F31-DF0E-418E-9465-9CE0B207BB96}" name="Table1" displayName="Table1" ref="AY1:BD426" totalsRowShown="0">
  <autoFilter ref="AY1:BD426" xr:uid="{6C601F31-DF0E-418E-9465-9CE0B207BB96}"/>
  <tableColumns count="6">
    <tableColumn id="1" xr3:uid="{CB33AF19-FD60-48F3-9F20-4AD910BD65A8}" name="Ticker"/>
    <tableColumn id="2" xr3:uid="{E630C2F0-18D4-4B20-A4E8-C87CF748406B}" name="Company"/>
    <tableColumn id="3" xr3:uid="{F59CE3C2-4B70-488E-879E-E7A51E22E046}" name="Exchange"/>
    <tableColumn id="4" xr3:uid="{7C839245-ABEC-4ECD-B788-D40CEEF9627F}" name="Sector"/>
    <tableColumn id="5" xr3:uid="{FE866D46-A09A-4C74-A06C-DC2EFABE4D24}" name="Industry"/>
    <tableColumn id="6" xr3:uid="{E3802640-76EA-4D99-A0C3-C608C3D377EB}" name="Subindustry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ABD63-E0BD-4D00-BB42-A64F2959BED8}" name="Table2" displayName="Table2" ref="BF1:BX12" totalsRowShown="0">
  <autoFilter ref="BF1:BX12" xr:uid="{1B4ABD63-E0BD-4D00-BB42-A64F2959BED8}"/>
  <tableColumns count="19">
    <tableColumn id="1" xr3:uid="{E922D173-E3F2-470F-8ECA-CD90394EBB2E}" name="Sector"/>
    <tableColumn id="2" xr3:uid="{60A8919B-E9A3-4321-880E-235A80E4EA47}" name="P/E"/>
    <tableColumn id="3" xr3:uid="{82F9C3A9-47D6-48C2-AB3F-D166ABFBD669}" name="Forward P/E"/>
    <tableColumn id="4" xr3:uid="{A37D24C1-9989-4995-B911-FEB76FD1BEEB}" name="EV/EBITDA"/>
    <tableColumn id="5" xr3:uid="{A09691D9-F4CD-4058-889A-6A3E51C64777}" name="Price/Sales"/>
    <tableColumn id="6" xr3:uid="{16C10B16-031D-4A5D-B4B0-EA3CE2552957}" name="Price/Book"/>
    <tableColumn id="7" xr3:uid="{49F0590C-455A-4BA3-A2A6-70B5511D32EA}" name="Dividend Yield"/>
    <tableColumn id="8" xr3:uid="{46EA5E41-C56D-4849-930E-2544AC512734}" name="EBITDA Margin"/>
    <tableColumn id="9" xr3:uid="{9E633709-10EC-475F-8FEA-7D9DE68F6090}" name="Net Margin"/>
    <tableColumn id="10" xr3:uid="{7D9A8B70-F8C1-41C2-A6D6-ED0376F0DCC9}" name="ROE"/>
    <tableColumn id="11" xr3:uid="{D9306345-8536-4378-A9AC-E4A516F246F3}" name="ROA"/>
    <tableColumn id="12" xr3:uid="{82CFE9E6-011B-4596-BD42-F88A20A34A86}" name="Asset Turnover"/>
    <tableColumn id="13" xr3:uid="{9D8929E6-476F-446B-96E8-BD5C63E86D83}" name="Debt/Equity"/>
    <tableColumn id="14" xr3:uid="{F9820584-D0E6-43C9-A456-FB57970674C9}" name="Net Debt/EBITDA"/>
    <tableColumn id="15" xr3:uid="{4C31B1BC-D508-4E1E-9D07-6D13BC029158}" name="Interest Coverage"/>
    <tableColumn id="16" xr3:uid="{8195C300-3FF7-4AA8-B1BA-C3974E3FD002}" name="Current Ratio"/>
    <tableColumn id="17" xr3:uid="{FC2B76C3-580F-4CB3-B3D5-DC6958625B6A}" name="Quick Ratio"/>
    <tableColumn id="18" xr3:uid="{41097B71-CF84-409E-A340-A97FA9CF9248}" name="Market Cap"/>
    <tableColumn id="19" xr3:uid="{AE1C9E69-AFF1-4786-8000-43A0B5CD6434}" name="Enterprise Value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FB1C91-FE81-443A-BBCB-3D47F1432668}" name="tblFundamentals" displayName="tblFundamentals" ref="I17:K50" totalsRowShown="0" headerRowDxfId="0">
  <autoFilter ref="I17:K50" xr:uid="{C5FB1C91-FE81-443A-BBCB-3D47F1432668}"/>
  <tableColumns count="3">
    <tableColumn id="1" xr3:uid="{DDECEFA1-0DAA-46B0-B110-015100F98319}" name="MÉTRICA" dataDxfId="3"/>
    <tableColumn id="2" xr3:uid="{B79A9704-2AE0-414B-9B55-4C96BCA599FE}" name="VALOR" dataDxfId="2"/>
    <tableColumn id="3" xr3:uid="{5AA2D41D-48AD-4690-93DF-5FA5A050A41E}" name="DESCRIPCIÓN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inkedin.com/in/iker-gomez-gim%C3%A9nez-94a982346/" TargetMode="External"/><Relationship Id="rId2" Type="http://schemas.openxmlformats.org/officeDocument/2006/relationships/hyperlink" Target="http://www.linkedin.com/in/ignasi-garcia" TargetMode="External"/><Relationship Id="rId1" Type="http://schemas.openxmlformats.org/officeDocument/2006/relationships/hyperlink" Target="mailto:ignasi.garcia.martin.e@gmail.com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linkedin.com/in/iker-gomez-gim%C3%A9nez-94a982346/" TargetMode="External"/><Relationship Id="rId2" Type="http://schemas.openxmlformats.org/officeDocument/2006/relationships/hyperlink" Target="http://www.linkedin.com/in/ignasi-garcia" TargetMode="External"/><Relationship Id="rId1" Type="http://schemas.openxmlformats.org/officeDocument/2006/relationships/hyperlink" Target="mailto:ignasi.garcia.martin.e@gmail.com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hyperlink" Target="mailto:ignasi.garcia.martin.e@gmail.com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7ABF4-3C12-4C5F-8B39-CBEB2C3C21D5}">
  <dimension ref="A1"/>
  <sheetViews>
    <sheetView showGridLines="0" workbookViewId="0">
      <selection activeCell="E23" sqref="E2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A636-F753-497F-9CB8-3741165B3288}">
  <sheetPr codeName="Sheet2">
    <tabColor theme="3" tint="0.749992370372631"/>
  </sheetPr>
  <dimension ref="A1:T37"/>
  <sheetViews>
    <sheetView showGridLines="0" topLeftCell="B1" zoomScale="85" zoomScaleNormal="85" workbookViewId="0">
      <selection activeCell="L32" sqref="L32"/>
    </sheetView>
  </sheetViews>
  <sheetFormatPr defaultColWidth="8.7109375" defaultRowHeight="15" x14ac:dyDescent="0.25"/>
  <cols>
    <col min="1" max="1" width="32.140625" bestFit="1" customWidth="1"/>
    <col min="2" max="2" width="5.5703125" customWidth="1"/>
    <col min="3" max="3" width="7.28515625" customWidth="1"/>
    <col min="4" max="4" width="7.140625" customWidth="1"/>
    <col min="5" max="5" width="60.7109375" bestFit="1" customWidth="1"/>
    <col min="6" max="6" width="26.85546875" bestFit="1" customWidth="1"/>
    <col min="7" max="7" width="33.5703125" bestFit="1" customWidth="1"/>
    <col min="8" max="8" width="9.85546875" bestFit="1" customWidth="1"/>
    <col min="9" max="9" width="11.140625" customWidth="1"/>
    <col min="10" max="10" width="53.28515625" bestFit="1" customWidth="1"/>
    <col min="12" max="12" width="10.5703125" customWidth="1"/>
    <col min="13" max="13" width="15.85546875" bestFit="1" customWidth="1"/>
    <col min="14" max="14" width="37.42578125" bestFit="1" customWidth="1"/>
    <col min="15" max="15" width="5.28515625" bestFit="1" customWidth="1"/>
  </cols>
  <sheetData>
    <row r="1" spans="1:20" ht="39.950000000000003" customHeight="1" thickBot="1" x14ac:dyDescent="0.3">
      <c r="A1" s="131" t="s">
        <v>0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3"/>
      <c r="P1" s="3"/>
      <c r="Q1" s="3"/>
      <c r="R1" s="3"/>
      <c r="S1" s="3"/>
      <c r="T1" s="3"/>
    </row>
    <row r="2" spans="1:20" ht="18" customHeight="1" thickBot="1" x14ac:dyDescent="0.3">
      <c r="A2" s="172" t="s">
        <v>973</v>
      </c>
      <c r="F2" s="176" t="s">
        <v>1241</v>
      </c>
      <c r="G2" s="175" t="s">
        <v>1240</v>
      </c>
    </row>
    <row r="3" spans="1:20" ht="18" customHeight="1" x14ac:dyDescent="0.25">
      <c r="A3" s="172" t="s">
        <v>975</v>
      </c>
    </row>
    <row r="4" spans="1:20" ht="18" hidden="1" customHeight="1" x14ac:dyDescent="0.25">
      <c r="A4" s="172"/>
    </row>
    <row r="5" spans="1:20" ht="18" hidden="1" customHeight="1" x14ac:dyDescent="0.25">
      <c r="A5" s="172"/>
    </row>
    <row r="6" spans="1:20" ht="14.45" hidden="1" customHeight="1" x14ac:dyDescent="0.25">
      <c r="A6" s="172"/>
    </row>
    <row r="7" spans="1:20" hidden="1" x14ac:dyDescent="0.25">
      <c r="A7" s="172"/>
    </row>
    <row r="8" spans="1:20" x14ac:dyDescent="0.25">
      <c r="A8" s="172" t="s">
        <v>976</v>
      </c>
      <c r="G8" s="1" t="s">
        <v>1242</v>
      </c>
      <c r="H8" s="1"/>
    </row>
    <row r="9" spans="1:20" x14ac:dyDescent="0.25">
      <c r="G9" s="1" t="s">
        <v>940</v>
      </c>
      <c r="H9" s="1"/>
    </row>
    <row r="10" spans="1:20" ht="34.5" customHeight="1" thickBot="1" x14ac:dyDescent="0.3">
      <c r="A10" s="173" t="s">
        <v>974</v>
      </c>
      <c r="G10" s="1" t="s">
        <v>1235</v>
      </c>
      <c r="H10" s="1"/>
    </row>
    <row r="11" spans="1:20" ht="30" customHeight="1" thickBot="1" x14ac:dyDescent="0.3">
      <c r="A11" s="174" t="s">
        <v>1230</v>
      </c>
      <c r="E11" s="22"/>
      <c r="F11" s="128" t="s">
        <v>1</v>
      </c>
      <c r="G11" s="129"/>
      <c r="H11" s="129"/>
      <c r="I11" s="129"/>
      <c r="J11" s="130"/>
    </row>
    <row r="12" spans="1:20" ht="30" customHeight="1" thickBot="1" x14ac:dyDescent="0.3">
      <c r="A12" s="174" t="s">
        <v>1231</v>
      </c>
      <c r="E12" s="6" t="s">
        <v>2</v>
      </c>
      <c r="F12" s="23" t="s">
        <v>3</v>
      </c>
      <c r="G12" s="5" t="s">
        <v>4</v>
      </c>
      <c r="H12" s="5" t="s">
        <v>5</v>
      </c>
      <c r="I12" s="4" t="s">
        <v>1192</v>
      </c>
      <c r="J12" s="4" t="s">
        <v>6</v>
      </c>
    </row>
    <row r="13" spans="1:20" ht="30" customHeight="1" x14ac:dyDescent="0.25">
      <c r="E13" s="35" t="s">
        <v>7</v>
      </c>
      <c r="F13" s="30" t="s">
        <v>8</v>
      </c>
      <c r="G13" s="31">
        <v>4.18</v>
      </c>
      <c r="H13" s="38">
        <v>4.1399999999999997</v>
      </c>
      <c r="I13" s="45">
        <f>IF(OR(G13&lt;2,G13&gt;5),1,IF(OR(AND(G13&gt;=2,G13&lt;3),AND(G13&gt;4,G13&lt;=5)),2,IF(AND(G13&gt;=3,G13&lt;=4),4,3)))</f>
        <v>2</v>
      </c>
      <c r="J13" s="41" t="str">
        <f>IF(G13&lt;2,"Too low - Economic problems, recession fears",IF(AND(G13&gt;=2,G13&lt;=5),"Normal range - Balanced rates support growth","Too high - Bonds compete with stocks, bad for equity"))</f>
        <v>Normal range - Balanced rates support growth</v>
      </c>
    </row>
    <row r="14" spans="1:20" ht="30" customHeight="1" x14ac:dyDescent="0.25">
      <c r="E14" s="36" t="s">
        <v>9</v>
      </c>
      <c r="F14" s="30" t="s">
        <v>10</v>
      </c>
      <c r="G14" s="32">
        <v>2.3271700000000002</v>
      </c>
      <c r="H14" s="39">
        <v>2.08047</v>
      </c>
      <c r="I14" s="46">
        <f>IF(G14&lt;0,1,IF(AND(G14&gt;=0,G14&lt;2),2,IF(AND(G14&gt;=2,G14&lt;=4),IF(AND(G14&gt;=2.5,G14&lt;=3.5),4,3),1)))</f>
        <v>3</v>
      </c>
      <c r="J14" s="42" t="str">
        <f>IF(G14&lt;0,"Recession - Economy shrinking, very bad",IF(AND(G14&gt;=0,G14&lt;2),"Slow growth - Economy struggling",IF(AND(G14&gt;=2,G14&lt;=4),"Good growth - Healthy expansion","Too hot - Inflation risk, economy overheating")))</f>
        <v>Good growth - Healthy expansion</v>
      </c>
    </row>
    <row r="15" spans="1:20" ht="30" customHeight="1" x14ac:dyDescent="0.25">
      <c r="E15" s="36" t="s">
        <v>11</v>
      </c>
      <c r="F15" s="30" t="s">
        <v>12</v>
      </c>
      <c r="G15" s="32">
        <v>4.5999999999999996</v>
      </c>
      <c r="H15" s="39" t="s">
        <v>1234</v>
      </c>
      <c r="I15" s="46">
        <f>IF(G15&gt;5,1,IF(G15&lt;3,2,IF(AND(G15&gt;=3,G15&lt;=5),IF(AND(G15&gt;=3.5,G15&lt;=4.5),4,3),1)))</f>
        <v>3</v>
      </c>
      <c r="J15" s="42" t="str">
        <f>IF(G15&gt;5,"Too high - Many unemployed, weak economy",IF(G15&lt;3,"Too tight - Inflation risk from labor shortage","Good range - Healthy job market"))</f>
        <v>Good range - Healthy job market</v>
      </c>
    </row>
    <row r="16" spans="1:20" ht="30" customHeight="1" x14ac:dyDescent="0.25">
      <c r="E16" s="36" t="s">
        <v>13</v>
      </c>
      <c r="F16" s="30" t="s">
        <v>14</v>
      </c>
      <c r="G16" s="32">
        <v>2.71197</v>
      </c>
      <c r="H16" s="39" t="s">
        <v>1234</v>
      </c>
      <c r="I16" s="46">
        <f>IF(OR(G16&lt;0,G16&gt;3),1,IF(AND(G16&gt;=0,G16&lt;2),2,IF(AND(G16&gt;=2,G16&lt;=3),IF(AND(G16&gt;=2,G16&lt;=2.5),4,3),1)))</f>
        <v>3</v>
      </c>
      <c r="J16" s="42" t="str">
        <f>IF(G16&lt;0,"Deflation - Very dangerous for economy",IF(AND(G16&gt;=0,G16&lt;2),"Too low - Weak economic activity",IF(AND(G16&gt;=2,G16&lt;=3),"Perfect - Fed target range, stable prices","Too high - Fed will raise rates, bad for stocks")))</f>
        <v>Perfect - Fed target range, stable prices</v>
      </c>
    </row>
    <row r="17" spans="5:13" ht="30" customHeight="1" thickBot="1" x14ac:dyDescent="0.3">
      <c r="E17" s="37" t="s">
        <v>256</v>
      </c>
      <c r="F17" s="33" t="s">
        <v>255</v>
      </c>
      <c r="G17" s="34">
        <v>3.75</v>
      </c>
      <c r="H17" s="40">
        <v>3.75</v>
      </c>
      <c r="I17" s="44">
        <f>IF(G17&lt;1,4,IF(G17&lt;3,3,IF(G17&lt;5,2,1)))</f>
        <v>2</v>
      </c>
      <c r="J17" s="43" t="str">
        <f>IF(G17&lt;1,"Muy expansivo",IF(G17&lt;3,"Neutro",IF(G17&lt;5,"Restrictivo","Muy restrictivo")))</f>
        <v>Restrictivo</v>
      </c>
    </row>
    <row r="18" spans="5:13" ht="30" customHeight="1" thickBot="1" x14ac:dyDescent="0.3">
      <c r="E18" s="22"/>
      <c r="F18" s="23" t="s">
        <v>15</v>
      </c>
      <c r="G18" s="132"/>
      <c r="H18" s="133"/>
      <c r="I18" s="47">
        <f>AVERAGE(I13:I17)</f>
        <v>2.6</v>
      </c>
      <c r="J18" s="64" t="str">
        <f>IF(I18&gt;=3.5,"Strong economy - Favorable for investment",IF(I18&gt;=2.5,"Moderate economy - Mixed signals",IF(I18&gt;=2,"Weak economy - Caution advised","Poor economy - Defensive positioning")))</f>
        <v>Moderate economy - Mixed signals</v>
      </c>
    </row>
    <row r="22" spans="5:13" ht="10.5" customHeight="1" x14ac:dyDescent="0.25"/>
    <row r="23" spans="5:13" ht="6.75" customHeight="1" thickBot="1" x14ac:dyDescent="0.3"/>
    <row r="24" spans="5:13" ht="27" customHeight="1" thickBot="1" x14ac:dyDescent="0.3">
      <c r="F24" s="128" t="s">
        <v>16</v>
      </c>
      <c r="G24" s="129"/>
      <c r="H24" s="129"/>
      <c r="I24" s="129"/>
      <c r="J24" s="130"/>
    </row>
    <row r="25" spans="5:13" ht="20.100000000000001" customHeight="1" thickBot="1" x14ac:dyDescent="0.3">
      <c r="E25" s="6" t="s">
        <v>17</v>
      </c>
      <c r="F25" s="6" t="s">
        <v>18</v>
      </c>
      <c r="G25" s="6" t="s">
        <v>19</v>
      </c>
      <c r="H25" s="12" t="s">
        <v>20</v>
      </c>
      <c r="I25" s="12" t="s">
        <v>1243</v>
      </c>
      <c r="J25" s="6" t="s">
        <v>21</v>
      </c>
      <c r="L25" s="1"/>
      <c r="M25" s="2"/>
    </row>
    <row r="26" spans="5:13" ht="20.100000000000001" customHeight="1" x14ac:dyDescent="0.25">
      <c r="E26" s="10" t="s">
        <v>22</v>
      </c>
      <c r="F26" s="12" t="s">
        <v>23</v>
      </c>
      <c r="G26" s="177">
        <v>6858.47</v>
      </c>
      <c r="H26" s="27">
        <v>-1.06E-2</v>
      </c>
      <c r="I26" s="24">
        <v>0.16869999999999999</v>
      </c>
      <c r="J26" s="13" t="s">
        <v>1236</v>
      </c>
    </row>
    <row r="27" spans="5:13" ht="20.100000000000001" customHeight="1" x14ac:dyDescent="0.25">
      <c r="E27" s="9" t="s">
        <v>24</v>
      </c>
      <c r="F27" s="7" t="s">
        <v>25</v>
      </c>
      <c r="G27" s="178">
        <v>23235.629000000001</v>
      </c>
      <c r="H27" s="28">
        <v>-1.6E-2</v>
      </c>
      <c r="I27" s="25">
        <v>0.2051</v>
      </c>
      <c r="J27" s="8" t="s">
        <v>941</v>
      </c>
    </row>
    <row r="28" spans="5:13" ht="20.100000000000001" customHeight="1" x14ac:dyDescent="0.25">
      <c r="E28" s="9" t="s">
        <v>26</v>
      </c>
      <c r="F28" s="7" t="s">
        <v>27</v>
      </c>
      <c r="G28" s="178">
        <v>48382.39</v>
      </c>
      <c r="H28" s="28">
        <v>-7.1999999999999998E-3</v>
      </c>
      <c r="I28" s="25">
        <v>0.14130000000000001</v>
      </c>
      <c r="J28" s="8" t="s">
        <v>1237</v>
      </c>
    </row>
    <row r="29" spans="5:13" ht="20.100000000000001" customHeight="1" x14ac:dyDescent="0.25">
      <c r="E29" s="9" t="s">
        <v>28</v>
      </c>
      <c r="F29" s="7" t="s">
        <v>29</v>
      </c>
      <c r="G29" s="178">
        <v>5850.38</v>
      </c>
      <c r="H29" s="28">
        <v>1.5599999999999999E-2</v>
      </c>
      <c r="I29" s="25">
        <v>0.20100000000000001</v>
      </c>
      <c r="J29" s="8" t="s">
        <v>1238</v>
      </c>
    </row>
    <row r="30" spans="5:13" ht="20.100000000000001" customHeight="1" x14ac:dyDescent="0.25">
      <c r="E30" s="9" t="s">
        <v>30</v>
      </c>
      <c r="F30" s="7" t="s">
        <v>31</v>
      </c>
      <c r="G30" s="178">
        <v>50339.48</v>
      </c>
      <c r="H30" s="28">
        <v>-1E-4</v>
      </c>
      <c r="I30" s="25">
        <v>0.28070000000000001</v>
      </c>
      <c r="J30" s="8" t="s">
        <v>942</v>
      </c>
    </row>
    <row r="31" spans="5:13" ht="20.100000000000001" customHeight="1" x14ac:dyDescent="0.25">
      <c r="E31" s="9" t="s">
        <v>32</v>
      </c>
      <c r="F31" s="7" t="s">
        <v>33</v>
      </c>
      <c r="G31" s="178">
        <v>14.51</v>
      </c>
      <c r="H31" s="28">
        <v>2.18E-2</v>
      </c>
      <c r="I31" s="25">
        <v>-0.1004</v>
      </c>
      <c r="J31" s="8" t="s">
        <v>1244</v>
      </c>
    </row>
    <row r="32" spans="5:13" ht="20.100000000000001" customHeight="1" x14ac:dyDescent="0.25">
      <c r="E32" s="9" t="s">
        <v>34</v>
      </c>
      <c r="F32" s="7" t="s">
        <v>35</v>
      </c>
      <c r="G32" s="178">
        <v>4329.6000000000004</v>
      </c>
      <c r="H32" s="28">
        <v>1E-3</v>
      </c>
      <c r="I32" s="25">
        <v>0.63119999999999998</v>
      </c>
      <c r="J32" s="8" t="s">
        <v>1245</v>
      </c>
    </row>
    <row r="33" spans="5:10" ht="20.100000000000001" customHeight="1" x14ac:dyDescent="0.25">
      <c r="E33" s="9" t="s">
        <v>36</v>
      </c>
      <c r="F33" s="7" t="s">
        <v>37</v>
      </c>
      <c r="G33" s="178">
        <v>57.32</v>
      </c>
      <c r="H33" s="28">
        <v>-1.3100000000000001E-2</v>
      </c>
      <c r="I33" s="25">
        <v>-0.22500000000000001</v>
      </c>
      <c r="J33" s="8" t="s">
        <v>1239</v>
      </c>
    </row>
    <row r="34" spans="5:10" ht="20.100000000000001" customHeight="1" x14ac:dyDescent="0.25">
      <c r="E34" s="9" t="s">
        <v>38</v>
      </c>
      <c r="F34" s="7" t="s">
        <v>39</v>
      </c>
      <c r="G34" s="178">
        <v>90107.664000000004</v>
      </c>
      <c r="H34" s="28">
        <v>1.9E-2</v>
      </c>
      <c r="I34" s="25">
        <v>-8.1500000000000003E-2</v>
      </c>
      <c r="J34" s="8" t="s">
        <v>943</v>
      </c>
    </row>
    <row r="35" spans="5:10" ht="20.100000000000001" customHeight="1" x14ac:dyDescent="0.25">
      <c r="E35" s="9" t="s">
        <v>40</v>
      </c>
      <c r="F35" s="7" t="s">
        <v>41</v>
      </c>
      <c r="G35" s="178">
        <v>3108.3904000000002</v>
      </c>
      <c r="H35" s="28">
        <v>4.6100000000000002E-2</v>
      </c>
      <c r="I35" s="25">
        <v>-0.13780000000000001</v>
      </c>
      <c r="J35" s="8" t="s">
        <v>257</v>
      </c>
    </row>
    <row r="36" spans="5:10" ht="20.100000000000001" customHeight="1" x14ac:dyDescent="0.25">
      <c r="E36" s="9" t="s">
        <v>42</v>
      </c>
      <c r="F36" s="7" t="s">
        <v>43</v>
      </c>
      <c r="G36" s="178">
        <v>2.0050810000000001</v>
      </c>
      <c r="H36" s="28">
        <v>6.9099999999999995E-2</v>
      </c>
      <c r="I36" s="25">
        <v>-0.18260000000000001</v>
      </c>
      <c r="J36" s="8" t="s">
        <v>944</v>
      </c>
    </row>
    <row r="37" spans="5:10" ht="20.100000000000001" customHeight="1" thickBot="1" x14ac:dyDescent="0.3">
      <c r="E37" s="11" t="s">
        <v>44</v>
      </c>
      <c r="F37" s="15" t="s">
        <v>45</v>
      </c>
      <c r="G37" s="179">
        <v>0.38724625000000001</v>
      </c>
      <c r="H37" s="29">
        <v>0.10290000000000001</v>
      </c>
      <c r="I37" s="26">
        <v>-0.64490000000000003</v>
      </c>
      <c r="J37" s="14" t="s">
        <v>1246</v>
      </c>
    </row>
  </sheetData>
  <mergeCells count="4">
    <mergeCell ref="F24:J24"/>
    <mergeCell ref="A1:N1"/>
    <mergeCell ref="F11:J11"/>
    <mergeCell ref="G18:H18"/>
  </mergeCells>
  <conditionalFormatting sqref="I13:I16">
    <cfRule type="cellIs" dxfId="16" priority="25" operator="equal">
      <formula>4</formula>
    </cfRule>
    <cfRule type="cellIs" dxfId="15" priority="26" operator="equal">
      <formula>3</formula>
    </cfRule>
    <cfRule type="cellIs" dxfId="14" priority="28" operator="equal">
      <formula>2</formula>
    </cfRule>
    <cfRule type="cellIs" dxfId="13" priority="29" operator="equal">
      <formula>1</formula>
    </cfRule>
  </conditionalFormatting>
  <conditionalFormatting sqref="I18">
    <cfRule type="cellIs" dxfId="12" priority="21" operator="equal">
      <formula>4</formula>
    </cfRule>
    <cfRule type="cellIs" dxfId="11" priority="22" operator="equal">
      <formula>3</formula>
    </cfRule>
    <cfRule type="cellIs" dxfId="10" priority="23" operator="equal">
      <formula>2</formula>
    </cfRule>
    <cfRule type="cellIs" dxfId="9" priority="24" operator="equal">
      <formula>1</formula>
    </cfRule>
  </conditionalFormatting>
  <conditionalFormatting sqref="I17">
    <cfRule type="colorScale" priority="15">
      <colorScale>
        <cfvo type="num" val="1"/>
        <cfvo type="num" val="2.5"/>
        <cfvo type="num" val="4"/>
        <color rgb="FFF8696B"/>
        <color rgb="FFFFEB84"/>
        <color rgb="FF63BE7B"/>
      </colorScale>
    </cfRule>
    <cfRule type="expression" priority="16">
      <formula>IF(G16&lt;1,1,IF(G16&lt;3,2,IF(G16&lt;5,3,4)))</formula>
    </cfRule>
  </conditionalFormatting>
  <conditionalFormatting sqref="I13:I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:I18 J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:H37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{269E581C-859E-49C6-B447-F531060FABFE}</x14:id>
        </ext>
      </extLst>
    </cfRule>
  </conditionalFormatting>
  <conditionalFormatting sqref="I26:I3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{A05C588C-1B78-44AC-B16C-B98FD03017BD}</x14:id>
        </ext>
      </extLst>
    </cfRule>
  </conditionalFormatting>
  <hyperlinks>
    <hyperlink ref="A10" r:id="rId1" display="ignasi.garcia.martin.e@gmail.com" xr:uid="{1CB3FD91-B1DB-4508-BE98-53E3478147DF}"/>
    <hyperlink ref="A11" r:id="rId2" xr:uid="{79F80191-E286-4226-A91D-B33D9AFA5013}"/>
    <hyperlink ref="A12" r:id="rId3" xr:uid="{E85B2E1D-8FF6-479F-8844-1350EF88A521}"/>
  </hyperlinks>
  <pageMargins left="0.7" right="0.7" top="0.75" bottom="0.75" header="0.3" footer="0.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E581C-859E-49C6-B447-F531060FABF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H26:H37</xm:sqref>
        </x14:conditionalFormatting>
        <x14:conditionalFormatting xmlns:xm="http://schemas.microsoft.com/office/excel/2006/main">
          <x14:cfRule type="dataBar" id="{A05C588C-1B78-44AC-B16C-B98FD03017B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I26:I37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508BC-19BF-420B-927B-21DFA9A3294A}">
  <sheetPr codeName="Sheet6">
    <tabColor theme="3" tint="0.499984740745262"/>
  </sheetPr>
  <dimension ref="A1:AO54"/>
  <sheetViews>
    <sheetView showGridLines="0" tabSelected="1" zoomScaleNormal="100" workbookViewId="0">
      <selection activeCell="T5" sqref="T5"/>
    </sheetView>
  </sheetViews>
  <sheetFormatPr defaultColWidth="8.7109375" defaultRowHeight="15" outlineLevelCol="1" x14ac:dyDescent="0.25"/>
  <cols>
    <col min="1" max="1" width="32.28515625" customWidth="1"/>
    <col min="2" max="2" width="42.42578125" customWidth="1"/>
    <col min="3" max="3" width="42.42578125" style="61" hidden="1" customWidth="1" outlineLevel="1"/>
    <col min="4" max="4" width="25.5703125" style="22" customWidth="1" collapsed="1"/>
    <col min="5" max="5" width="21" style="22" customWidth="1"/>
    <col min="6" max="6" width="10.85546875" style="22" customWidth="1"/>
    <col min="7" max="7" width="7.7109375" style="22" customWidth="1"/>
    <col min="8" max="8" width="32.85546875" style="22" hidden="1" customWidth="1" outlineLevel="1"/>
    <col min="9" max="9" width="39.140625" style="22" customWidth="1" collapsed="1"/>
    <col min="10" max="10" width="12.140625" customWidth="1"/>
    <col min="11" max="11" width="15.85546875" hidden="1" customWidth="1"/>
    <col min="12" max="12" width="22.85546875" hidden="1" customWidth="1"/>
    <col min="13" max="13" width="54.7109375" hidden="1" customWidth="1"/>
    <col min="14" max="14" width="15.140625" hidden="1" customWidth="1"/>
    <col min="15" max="15" width="8.85546875" hidden="1" customWidth="1"/>
    <col min="16" max="16" width="8.42578125" bestFit="1" customWidth="1"/>
  </cols>
  <sheetData>
    <row r="1" spans="1:41" ht="50.25" customHeight="1" x14ac:dyDescent="0.35">
      <c r="A1" s="56"/>
      <c r="B1" s="160" t="s">
        <v>1111</v>
      </c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</row>
    <row r="2" spans="1:41" ht="35.1" customHeight="1" thickBot="1" x14ac:dyDescent="0.3">
      <c r="A2" s="110" t="s">
        <v>1232</v>
      </c>
      <c r="D2"/>
      <c r="E2"/>
      <c r="F2" s="161" t="s">
        <v>1229</v>
      </c>
      <c r="G2" s="161"/>
      <c r="H2" s="161"/>
      <c r="I2" s="161"/>
    </row>
    <row r="3" spans="1:41" ht="35.1" customHeight="1" thickBot="1" x14ac:dyDescent="0.3">
      <c r="A3" s="172" t="s">
        <v>976</v>
      </c>
      <c r="B3" s="22" t="e" vm="1">
        <v>#VALUE!</v>
      </c>
      <c r="D3" s="126" t="s">
        <v>1228</v>
      </c>
      <c r="E3" s="127" t="str">
        <f>IF(
   AND(J53&gt;=12,J54&gt;=6),"Buy hard",
   IF(
      AND(J53&gt;=8,J54&gt;=2),"Buy",
      IF(
         AND(J53&lt;=-12,J54&lt;=-4),"Sell hard",
         IF(
            AND(J53&lt;=-8,J54&lt;=-2),"Sell",
            "Hold"
         )
      )
   )
)</f>
        <v>Hold</v>
      </c>
      <c r="F3" s="157" t="s">
        <v>572</v>
      </c>
      <c r="G3" s="158"/>
      <c r="H3" s="158"/>
      <c r="I3" s="159"/>
    </row>
    <row r="4" spans="1:41" ht="35.1" customHeight="1" x14ac:dyDescent="0.25">
      <c r="A4" s="173" t="s">
        <v>974</v>
      </c>
      <c r="D4" s="125" t="s">
        <v>1227</v>
      </c>
      <c r="F4"/>
      <c r="G4"/>
      <c r="H4"/>
      <c r="I4"/>
    </row>
    <row r="5" spans="1:41" ht="27.75" customHeight="1" thickBot="1" x14ac:dyDescent="0.3">
      <c r="A5" s="174" t="s">
        <v>1230</v>
      </c>
    </row>
    <row r="6" spans="1:41" ht="20.100000000000001" customHeight="1" thickBot="1" x14ac:dyDescent="0.3">
      <c r="A6" s="174" t="s">
        <v>1231</v>
      </c>
      <c r="B6" s="143" t="s">
        <v>259</v>
      </c>
      <c r="C6" s="144"/>
      <c r="D6" s="58" t="s">
        <v>258</v>
      </c>
      <c r="E6" s="143" t="s">
        <v>979</v>
      </c>
      <c r="F6" s="144"/>
      <c r="G6" s="143" t="s">
        <v>978</v>
      </c>
      <c r="H6" s="147"/>
      <c r="I6" s="144"/>
      <c r="K6" s="60" t="s">
        <v>1116</v>
      </c>
      <c r="L6" s="60" t="s">
        <v>3</v>
      </c>
      <c r="M6" s="60" t="s">
        <v>1117</v>
      </c>
      <c r="N6" s="60" t="s">
        <v>1118</v>
      </c>
    </row>
    <row r="7" spans="1:41" ht="20.100000000000001" customHeight="1" thickBot="1" x14ac:dyDescent="0.3">
      <c r="B7" s="145" t="str">
        <f>'BACKEND (companies data)'!K9</f>
        <v>Telefónica, S.A.</v>
      </c>
      <c r="C7" s="146"/>
      <c r="D7" s="63" t="str">
        <f>'BACKEND (companies data)'!N9</f>
        <v>TEF.MC</v>
      </c>
      <c r="E7" s="145" t="str">
        <f>'BACKEND (companies data)'!P9</f>
        <v>Communication Services</v>
      </c>
      <c r="F7" s="146"/>
      <c r="G7" s="148" t="str">
        <f>'BACKEND (companies data)'!Q9</f>
        <v>Telecommunication Services</v>
      </c>
      <c r="H7" s="149"/>
      <c r="I7" s="150"/>
      <c r="K7" s="62" t="s">
        <v>1112</v>
      </c>
      <c r="L7" s="61" t="s">
        <v>1119</v>
      </c>
      <c r="M7" s="61" t="s">
        <v>1120</v>
      </c>
      <c r="N7" s="62" t="s">
        <v>1121</v>
      </c>
    </row>
    <row r="8" spans="1:41" ht="15" customHeight="1" thickBot="1" x14ac:dyDescent="0.3">
      <c r="K8" s="61"/>
      <c r="L8" s="61" t="s">
        <v>1122</v>
      </c>
      <c r="M8" s="61" t="s">
        <v>1123</v>
      </c>
      <c r="N8" s="62" t="s">
        <v>1124</v>
      </c>
    </row>
    <row r="9" spans="1:41" ht="33" customHeight="1" thickBot="1" x14ac:dyDescent="0.3">
      <c r="B9" s="134" t="s">
        <v>945</v>
      </c>
      <c r="C9" s="135"/>
      <c r="D9" s="135"/>
      <c r="E9" s="135"/>
      <c r="F9" s="135"/>
      <c r="G9" s="135"/>
      <c r="H9" s="135"/>
      <c r="I9" s="136"/>
      <c r="K9" s="61"/>
      <c r="L9" s="61" t="s">
        <v>922</v>
      </c>
      <c r="M9" s="61" t="s">
        <v>1125</v>
      </c>
      <c r="N9" s="62" t="s">
        <v>1124</v>
      </c>
    </row>
    <row r="10" spans="1:41" ht="20.100000000000001" customHeight="1" thickBot="1" x14ac:dyDescent="0.3">
      <c r="B10" s="6" t="s">
        <v>2</v>
      </c>
      <c r="C10" s="123" t="s">
        <v>1191</v>
      </c>
      <c r="D10" s="57" t="s">
        <v>3</v>
      </c>
      <c r="E10" s="57" t="s">
        <v>1113</v>
      </c>
      <c r="F10" s="57" t="s">
        <v>1114</v>
      </c>
      <c r="G10" s="57" t="s">
        <v>1164</v>
      </c>
      <c r="H10" s="68" t="s">
        <v>1165</v>
      </c>
      <c r="I10" s="57" t="s">
        <v>1115</v>
      </c>
      <c r="J10" s="57" t="s">
        <v>1194</v>
      </c>
      <c r="K10" s="61"/>
      <c r="L10" s="61" t="s">
        <v>59</v>
      </c>
      <c r="M10" s="61" t="s">
        <v>1126</v>
      </c>
      <c r="N10" s="62" t="s">
        <v>1121</v>
      </c>
    </row>
    <row r="11" spans="1:41" ht="27.95" customHeight="1" x14ac:dyDescent="0.25">
      <c r="A11" s="112" t="s">
        <v>1196</v>
      </c>
      <c r="B11" s="82" t="s">
        <v>1120</v>
      </c>
      <c r="C11" s="92" t="s">
        <v>1167</v>
      </c>
      <c r="D11" s="45" t="s">
        <v>56</v>
      </c>
      <c r="E11" s="85">
        <f>'BACKEND (companies data)'!J19</f>
        <v>-0.19</v>
      </c>
      <c r="F11" s="86"/>
      <c r="G11" s="85">
        <v>1</v>
      </c>
      <c r="H11" s="77" t="s">
        <v>1121</v>
      </c>
      <c r="I11" s="85" t="str">
        <f t="shared" ref="I11:I18" si="0">IF(
    NOT(ISBLANK(F11)),
        IF(
            G11=1,
                IF(E11&gt;F11,"Good compared to average +1",IF(E11&lt;F11,"Bad compared to average -1","Equal to average 0")),
            IF(
                G11=-1,
                    IF(E11&lt;F11,"Good compared to average +1",IF(E11&gt;F11,"Bad compared to average -1","Equal to average 0")),
                    "Equal to average 0"
            )
        ),
        IF(
            OR(G11=1,G11=-1),
                IF(
                    G11=1,
                        IF(E11&gt;0,"Positive +1",IF(E11&lt;0,"Negative -1","Neutral 0")),
                    IF(
                        G11=-1,
                            IF(E11=0,"Positive +1","Negative -1"),
                            "Neutral 0"
                    )
                ),
            "Neutral 0"
        )
)</f>
        <v>Negative -1</v>
      </c>
      <c r="J11" s="85">
        <f>IF(I11="",0,IFERROR(VALUE(TRIM(RIGHT(I11,2))),0))</f>
        <v>-1</v>
      </c>
      <c r="K11" s="16">
        <f t="shared" ref="K11:O11" si="1">IF(J11="",0,VALUE(RIGHT(J11,1)))</f>
        <v>1</v>
      </c>
      <c r="L11" s="16">
        <f t="shared" si="1"/>
        <v>1</v>
      </c>
      <c r="M11" s="16">
        <f t="shared" si="1"/>
        <v>1</v>
      </c>
      <c r="N11" s="16">
        <f t="shared" si="1"/>
        <v>1</v>
      </c>
      <c r="O11" s="16">
        <f t="shared" si="1"/>
        <v>1</v>
      </c>
      <c r="P11" s="16"/>
    </row>
    <row r="12" spans="1:41" ht="27.95" customHeight="1" x14ac:dyDescent="0.25">
      <c r="A12" s="112" t="s">
        <v>1197</v>
      </c>
      <c r="B12" s="83" t="s">
        <v>1123</v>
      </c>
      <c r="C12" s="93" t="s">
        <v>1168</v>
      </c>
      <c r="D12" s="46" t="s">
        <v>934</v>
      </c>
      <c r="E12" s="87" t="str">
        <f>'BACKEND (companies data)'!J20</f>
        <v>N/A</v>
      </c>
      <c r="F12" s="87">
        <f>_xlfn.XLOOKUP($E$7,Table2[Sector],Table2[P/E],"",0)</f>
        <v>17.663516999999999</v>
      </c>
      <c r="G12" s="96">
        <v>-1</v>
      </c>
      <c r="H12" s="78" t="s">
        <v>1124</v>
      </c>
      <c r="I12" s="96" t="str">
        <f t="shared" si="0"/>
        <v>Bad compared to average -1</v>
      </c>
      <c r="J12" s="96">
        <f t="shared" ref="J12:J18" si="2">IF(I12="",0,IFERROR(VALUE(TRIM(RIGHT(I12,2))),0))</f>
        <v>-1</v>
      </c>
      <c r="K12" s="59"/>
      <c r="L12" s="59" t="s">
        <v>924</v>
      </c>
      <c r="M12" s="59" t="s">
        <v>1128</v>
      </c>
      <c r="N12" s="60" t="s">
        <v>1121</v>
      </c>
      <c r="O12" s="16"/>
      <c r="P12" s="16"/>
    </row>
    <row r="13" spans="1:41" ht="27.95" customHeight="1" x14ac:dyDescent="0.25">
      <c r="A13" s="112" t="s">
        <v>1198</v>
      </c>
      <c r="B13" s="83" t="s">
        <v>1125</v>
      </c>
      <c r="C13" s="93" t="s">
        <v>1169</v>
      </c>
      <c r="D13" s="46" t="s">
        <v>922</v>
      </c>
      <c r="E13" s="87">
        <f>'BACKEND (companies data)'!J21</f>
        <v>10.564171</v>
      </c>
      <c r="F13" s="87">
        <f>_xlfn.XLOOKUP($E$7,Table2[Sector],Table2[Forward P/E],"",0)</f>
        <v>15.117943500000001</v>
      </c>
      <c r="G13" s="96">
        <v>-1</v>
      </c>
      <c r="H13" s="78" t="s">
        <v>1124</v>
      </c>
      <c r="I13" s="96" t="str">
        <f t="shared" si="0"/>
        <v>Good compared to average +1</v>
      </c>
      <c r="J13" s="96">
        <f t="shared" si="2"/>
        <v>1</v>
      </c>
      <c r="K13" s="59"/>
      <c r="L13" s="59" t="s">
        <v>1129</v>
      </c>
      <c r="M13" s="59" t="s">
        <v>1130</v>
      </c>
      <c r="N13" s="60" t="s">
        <v>1121</v>
      </c>
      <c r="O13" s="16"/>
      <c r="P13" s="16"/>
    </row>
    <row r="14" spans="1:41" ht="27.95" customHeight="1" x14ac:dyDescent="0.25">
      <c r="A14" s="112" t="s">
        <v>1199</v>
      </c>
      <c r="B14" s="83" t="s">
        <v>1126</v>
      </c>
      <c r="C14" s="93" t="s">
        <v>1170</v>
      </c>
      <c r="D14" s="46" t="s">
        <v>59</v>
      </c>
      <c r="E14" s="88">
        <f>'BACKEND (companies data)'!J22</f>
        <v>9473000448</v>
      </c>
      <c r="F14" s="86"/>
      <c r="G14" s="96">
        <v>1</v>
      </c>
      <c r="H14" s="78" t="s">
        <v>1121</v>
      </c>
      <c r="I14" s="96" t="str">
        <f t="shared" si="0"/>
        <v>Positive +1</v>
      </c>
      <c r="J14" s="96">
        <f t="shared" si="2"/>
        <v>1</v>
      </c>
      <c r="K14" s="59"/>
      <c r="L14" s="59" t="s">
        <v>1131</v>
      </c>
      <c r="M14" s="59" t="s">
        <v>1132</v>
      </c>
      <c r="N14" s="60" t="s">
        <v>1121</v>
      </c>
      <c r="O14" s="16"/>
      <c r="P14" s="16"/>
    </row>
    <row r="15" spans="1:41" ht="27.95" customHeight="1" x14ac:dyDescent="0.25">
      <c r="A15" s="112" t="s">
        <v>1200</v>
      </c>
      <c r="B15" s="83" t="s">
        <v>1127</v>
      </c>
      <c r="C15" s="93" t="s">
        <v>1171</v>
      </c>
      <c r="D15" s="46" t="s">
        <v>923</v>
      </c>
      <c r="E15" s="72">
        <f>'BACKEND (companies data)'!J23</f>
        <v>0.22760999000000001</v>
      </c>
      <c r="F15" s="89">
        <f>_xlfn.XLOOKUP($E$7,Table2[Sector],Table2[EV/EBITDA],"",0)</f>
        <v>9.1464999999999996</v>
      </c>
      <c r="G15" s="96">
        <v>1</v>
      </c>
      <c r="H15" s="78" t="s">
        <v>1121</v>
      </c>
      <c r="I15" s="96" t="str">
        <f t="shared" si="0"/>
        <v>Bad compared to average -1</v>
      </c>
      <c r="J15" s="96">
        <f t="shared" si="2"/>
        <v>-1</v>
      </c>
      <c r="K15" s="60" t="s">
        <v>1133</v>
      </c>
      <c r="L15" s="59" t="s">
        <v>925</v>
      </c>
      <c r="M15" s="59" t="s">
        <v>1134</v>
      </c>
      <c r="N15" s="60" t="s">
        <v>1121</v>
      </c>
      <c r="O15" s="16"/>
      <c r="P15" s="16"/>
    </row>
    <row r="16" spans="1:41" ht="27.95" customHeight="1" x14ac:dyDescent="0.25">
      <c r="A16" s="112" t="s">
        <v>1201</v>
      </c>
      <c r="B16" s="83" t="s">
        <v>1128</v>
      </c>
      <c r="C16" s="93" t="s">
        <v>1172</v>
      </c>
      <c r="D16" s="46" t="s">
        <v>924</v>
      </c>
      <c r="E16" s="72">
        <f>'BACKEND (companies data)'!J24</f>
        <v>-5.0049999999999997E-2</v>
      </c>
      <c r="F16" s="90">
        <f>_xlfn.XLOOKUP($E$7,Table2[Sector],Table2[Net Margin],"",0)</f>
        <v>0.10983</v>
      </c>
      <c r="G16" s="96">
        <v>1</v>
      </c>
      <c r="H16" s="78" t="s">
        <v>1121</v>
      </c>
      <c r="I16" s="96" t="str">
        <f t="shared" si="0"/>
        <v>Bad compared to average -1</v>
      </c>
      <c r="J16" s="96">
        <f t="shared" si="2"/>
        <v>-1</v>
      </c>
      <c r="K16" s="59"/>
      <c r="L16" s="59" t="s">
        <v>1135</v>
      </c>
      <c r="M16" s="59" t="s">
        <v>1136</v>
      </c>
      <c r="N16" s="60" t="s">
        <v>1121</v>
      </c>
      <c r="O16" s="16"/>
      <c r="P16" s="16"/>
    </row>
    <row r="17" spans="1:16" ht="27.95" customHeight="1" x14ac:dyDescent="0.25">
      <c r="A17" s="112" t="s">
        <v>1202</v>
      </c>
      <c r="B17" s="83" t="s">
        <v>1130</v>
      </c>
      <c r="C17" s="93" t="s">
        <v>1173</v>
      </c>
      <c r="D17" s="46" t="s">
        <v>84</v>
      </c>
      <c r="E17" s="72">
        <f>'BACKEND (companies data)'!J25</f>
        <v>-2.3089999999999999E-2</v>
      </c>
      <c r="F17" s="72">
        <f>_xlfn.XLOOKUP($E$7,Table2[Sector],Table2[ROE],"",0)</f>
        <v>0.14074</v>
      </c>
      <c r="G17" s="96">
        <v>1</v>
      </c>
      <c r="H17" s="78" t="s">
        <v>1121</v>
      </c>
      <c r="I17" s="96" t="str">
        <f t="shared" si="0"/>
        <v>Bad compared to average -1</v>
      </c>
      <c r="J17" s="96">
        <f t="shared" si="2"/>
        <v>-1</v>
      </c>
      <c r="K17" s="59"/>
      <c r="L17" s="59" t="s">
        <v>926</v>
      </c>
      <c r="M17" s="59" t="s">
        <v>1137</v>
      </c>
      <c r="N17" s="60" t="s">
        <v>1138</v>
      </c>
      <c r="O17" s="16"/>
      <c r="P17" s="16"/>
    </row>
    <row r="18" spans="1:16" ht="27.95" customHeight="1" thickBot="1" x14ac:dyDescent="0.3">
      <c r="A18" s="112" t="s">
        <v>1203</v>
      </c>
      <c r="B18" s="84" t="s">
        <v>1132</v>
      </c>
      <c r="C18" s="94" t="s">
        <v>1174</v>
      </c>
      <c r="D18" s="95" t="s">
        <v>254</v>
      </c>
      <c r="E18" s="73">
        <f>'BACKEND (companies data)'!J26</f>
        <v>2.9250000000000002E-2</v>
      </c>
      <c r="F18" s="73">
        <f>_xlfn.XLOOKUP($E$7,Table2[Sector],Table2[ROA],"",0)</f>
        <v>4.0210000000000003E-2</v>
      </c>
      <c r="G18" s="97">
        <v>1</v>
      </c>
      <c r="H18" s="79" t="s">
        <v>1121</v>
      </c>
      <c r="I18" s="97" t="str">
        <f t="shared" si="0"/>
        <v>Bad compared to average -1</v>
      </c>
      <c r="J18" s="97">
        <f t="shared" si="2"/>
        <v>-1</v>
      </c>
      <c r="K18" s="59"/>
      <c r="L18" s="59" t="s">
        <v>927</v>
      </c>
      <c r="M18" s="59" t="s">
        <v>1139</v>
      </c>
      <c r="N18" s="60" t="s">
        <v>1121</v>
      </c>
      <c r="O18" s="16"/>
      <c r="P18" s="16"/>
    </row>
    <row r="19" spans="1:16" ht="27.95" customHeight="1" thickBot="1" x14ac:dyDescent="0.3">
      <c r="B19" s="110"/>
      <c r="C19" s="59"/>
      <c r="D19" s="111"/>
      <c r="E19" s="67"/>
      <c r="F19" s="67"/>
      <c r="G19" s="16"/>
      <c r="H19" s="60"/>
      <c r="I19" s="113" t="s">
        <v>1220</v>
      </c>
      <c r="J19" s="113">
        <f>SUM(J11:J18)</f>
        <v>-4</v>
      </c>
      <c r="K19" s="61"/>
      <c r="L19" s="61"/>
      <c r="M19" s="61"/>
      <c r="N19" s="62"/>
    </row>
    <row r="20" spans="1:16" ht="15" customHeight="1" thickBot="1" x14ac:dyDescent="0.3">
      <c r="E20" s="16"/>
      <c r="F20" s="16"/>
      <c r="K20" s="62" t="s">
        <v>1140</v>
      </c>
      <c r="L20" s="61" t="s">
        <v>928</v>
      </c>
      <c r="M20" s="61" t="s">
        <v>1141</v>
      </c>
      <c r="N20" s="62" t="s">
        <v>1142</v>
      </c>
    </row>
    <row r="21" spans="1:16" ht="27.95" customHeight="1" thickBot="1" x14ac:dyDescent="0.3">
      <c r="B21" s="137" t="s">
        <v>946</v>
      </c>
      <c r="C21" s="138"/>
      <c r="D21" s="138"/>
      <c r="E21" s="138"/>
      <c r="F21" s="138"/>
      <c r="G21" s="138"/>
      <c r="H21" s="138"/>
      <c r="I21" s="139"/>
      <c r="K21" s="61"/>
      <c r="L21" s="61" t="s">
        <v>936</v>
      </c>
      <c r="M21" s="61" t="s">
        <v>1143</v>
      </c>
      <c r="N21" s="62" t="s">
        <v>1142</v>
      </c>
    </row>
    <row r="22" spans="1:16" ht="27.95" customHeight="1" thickBot="1" x14ac:dyDescent="0.3">
      <c r="B22" s="6" t="s">
        <v>2</v>
      </c>
      <c r="C22" s="124" t="s">
        <v>1191</v>
      </c>
      <c r="D22" s="65" t="s">
        <v>3</v>
      </c>
      <c r="E22" s="65" t="s">
        <v>1113</v>
      </c>
      <c r="F22" s="65" t="s">
        <v>1114</v>
      </c>
      <c r="G22" s="65" t="s">
        <v>1164</v>
      </c>
      <c r="H22" s="57" t="s">
        <v>1165</v>
      </c>
      <c r="I22" s="57" t="s">
        <v>1115</v>
      </c>
      <c r="J22" s="57" t="s">
        <v>1194</v>
      </c>
      <c r="K22" s="61"/>
      <c r="L22" s="61" t="s">
        <v>937</v>
      </c>
      <c r="M22" s="61" t="s">
        <v>1144</v>
      </c>
      <c r="N22" s="62" t="s">
        <v>1145</v>
      </c>
    </row>
    <row r="23" spans="1:16" ht="27.95" customHeight="1" x14ac:dyDescent="0.25">
      <c r="A23" s="112" t="s">
        <v>1204</v>
      </c>
      <c r="B23" s="69" t="s">
        <v>1134</v>
      </c>
      <c r="C23" s="69" t="s">
        <v>1175</v>
      </c>
      <c r="D23" s="45" t="s">
        <v>925</v>
      </c>
      <c r="E23" s="101">
        <f>'BACKEND (companies data)'!J29</f>
        <v>3324250112</v>
      </c>
      <c r="F23" s="104"/>
      <c r="G23" s="85">
        <v>1</v>
      </c>
      <c r="H23" s="77" t="s">
        <v>1121</v>
      </c>
      <c r="I23" s="107" t="str">
        <f>IF(
    NOT(ISBLANK(F23)),
        IF(
            G23=1,
                IF(E23&gt;F23,"Good compared to average +1",IF(E23&lt;F23,"Bad compared to average -1","Equal to average 0")),
            IF(
                G23=-1,
                    IF(E23&lt;F23,"Good compared to average +1",IF(E23&gt;F23,"Bad compared to average -1","Equal to average 0")),
                    "Equal to average 0"
            )
        ),
        IF(
            OR(G23=1,G23=-1),
                IF(
                    G23=1,
                        IF(E23&gt;0,"Positive +1",IF(E23&lt;0,"Negative -1","Neutral 0")),
                    IF(
                        G23=-1,
                            IF(E23=0,"Positive +1","Negative -1"),
                            "Neutral 0"
                    )
                ),
            "Neutral 0"
        )
)</f>
        <v>Positive +1</v>
      </c>
      <c r="J23" s="85">
        <f t="shared" ref="J23:J26" si="3">IF(I23="",0,IFERROR(VALUE(TRIM(RIGHT(I23,2))),0))</f>
        <v>1</v>
      </c>
      <c r="K23" s="61"/>
      <c r="L23" s="61" t="s">
        <v>929</v>
      </c>
      <c r="M23" s="61" t="s">
        <v>1146</v>
      </c>
      <c r="N23" s="62" t="s">
        <v>1147</v>
      </c>
    </row>
    <row r="24" spans="1:16" ht="27.95" customHeight="1" x14ac:dyDescent="0.25">
      <c r="A24" s="112" t="s">
        <v>1205</v>
      </c>
      <c r="B24" s="70" t="s">
        <v>1136</v>
      </c>
      <c r="C24" s="70" t="s">
        <v>1176</v>
      </c>
      <c r="D24" s="46" t="s">
        <v>935</v>
      </c>
      <c r="E24" s="88">
        <f>'BACKEND (companies data)'!J30</f>
        <v>10225000448</v>
      </c>
      <c r="F24" s="86"/>
      <c r="G24" s="96">
        <v>1</v>
      </c>
      <c r="H24" s="78" t="s">
        <v>1121</v>
      </c>
      <c r="I24" s="108" t="str">
        <f>IF(
    NOT(ISBLANK(F24)),
        IF(
            G24=1,
                IF(E24&gt;F24,"Good compared to average +1",IF(E24&lt;F24,"Bad compared to average -1","Equal to average 0")),
            IF(
                G24=-1,
                    IF(E24&lt;F24,"Good compared to average +1",IF(E24&gt;F24,"Bad compared to average -1","Equal to average 0")),
                    "Equal to average 0"
            )
        ),
        IF(
            OR(G24=1,G24=-1),
                IF(
                    G24=1,
                        IF(E24&gt;0,"Positive +1",IF(E24&lt;0,"Negative -1","Neutral 0")),
                    IF(
                        G24=-1,
                            IF(E24=0,"Positive +1","Negative -1"),
                            "Neutral 0"
                    )
                ),
            "Neutral 0"
        )
)</f>
        <v>Positive +1</v>
      </c>
      <c r="J24" s="96">
        <f t="shared" si="3"/>
        <v>1</v>
      </c>
      <c r="K24" s="62" t="s">
        <v>1148</v>
      </c>
      <c r="L24" s="61" t="s">
        <v>930</v>
      </c>
      <c r="M24" s="61" t="s">
        <v>1149</v>
      </c>
      <c r="N24" s="62" t="s">
        <v>1150</v>
      </c>
    </row>
    <row r="25" spans="1:16" ht="27.95" customHeight="1" x14ac:dyDescent="0.25">
      <c r="A25" s="112" t="s">
        <v>1206</v>
      </c>
      <c r="B25" s="70" t="s">
        <v>1137</v>
      </c>
      <c r="C25" s="70" t="s">
        <v>1177</v>
      </c>
      <c r="D25" s="46" t="s">
        <v>926</v>
      </c>
      <c r="E25" s="88">
        <f>'BACKEND (companies data)'!J31</f>
        <v>5790000000</v>
      </c>
      <c r="F25" s="86"/>
      <c r="G25" s="96">
        <v>0</v>
      </c>
      <c r="H25" s="78" t="s">
        <v>1138</v>
      </c>
      <c r="I25" s="108"/>
      <c r="J25" s="96">
        <f t="shared" si="3"/>
        <v>0</v>
      </c>
      <c r="K25" s="61"/>
      <c r="L25" s="61" t="s">
        <v>931</v>
      </c>
      <c r="M25" s="61" t="s">
        <v>1151</v>
      </c>
      <c r="N25" s="62" t="s">
        <v>1152</v>
      </c>
    </row>
    <row r="26" spans="1:16" ht="27.95" customHeight="1" thickBot="1" x14ac:dyDescent="0.3">
      <c r="A26" s="112" t="s">
        <v>1207</v>
      </c>
      <c r="B26" s="71" t="s">
        <v>1139</v>
      </c>
      <c r="C26" s="71" t="s">
        <v>1178</v>
      </c>
      <c r="D26" s="95" t="s">
        <v>927</v>
      </c>
      <c r="E26" s="116">
        <f>'BACKEND (companies data)'!J32</f>
        <v>0.41108634654036702</v>
      </c>
      <c r="F26" s="105"/>
      <c r="G26" s="97">
        <v>1</v>
      </c>
      <c r="H26" s="79" t="s">
        <v>1121</v>
      </c>
      <c r="I26" s="81" t="s">
        <v>1195</v>
      </c>
      <c r="J26" s="97">
        <f t="shared" si="3"/>
        <v>0</v>
      </c>
      <c r="K26" s="62" t="s">
        <v>1115</v>
      </c>
      <c r="L26" s="61" t="s">
        <v>253</v>
      </c>
      <c r="M26" s="61" t="s">
        <v>1153</v>
      </c>
      <c r="N26" s="62" t="s">
        <v>1154</v>
      </c>
    </row>
    <row r="27" spans="1:16" ht="27.95" customHeight="1" thickBot="1" x14ac:dyDescent="0.3">
      <c r="A27" s="112"/>
      <c r="B27" s="61"/>
      <c r="D27" s="66"/>
      <c r="E27" s="50"/>
      <c r="F27"/>
      <c r="G27" s="16"/>
      <c r="H27" s="60"/>
      <c r="I27" s="113" t="s">
        <v>1221</v>
      </c>
      <c r="J27" s="113">
        <f>SUM(J23:J26)</f>
        <v>2</v>
      </c>
      <c r="K27" s="62"/>
      <c r="L27" s="61"/>
      <c r="M27" s="61"/>
      <c r="N27" s="62"/>
    </row>
    <row r="28" spans="1:16" ht="15" customHeight="1" thickBot="1" x14ac:dyDescent="0.3">
      <c r="K28" s="61"/>
      <c r="L28" s="61" t="s">
        <v>1155</v>
      </c>
      <c r="M28" s="61" t="s">
        <v>1156</v>
      </c>
      <c r="N28" s="62" t="s">
        <v>1157</v>
      </c>
    </row>
    <row r="29" spans="1:16" ht="27.95" customHeight="1" thickBot="1" x14ac:dyDescent="0.3">
      <c r="B29" s="140" t="s">
        <v>947</v>
      </c>
      <c r="C29" s="141"/>
      <c r="D29" s="141"/>
      <c r="E29" s="141"/>
      <c r="F29" s="141"/>
      <c r="G29" s="141"/>
      <c r="H29" s="141"/>
      <c r="I29" s="142"/>
      <c r="K29" s="61"/>
      <c r="L29" s="61" t="s">
        <v>62</v>
      </c>
      <c r="M29" s="61" t="s">
        <v>1158</v>
      </c>
      <c r="N29" s="62" t="s">
        <v>1124</v>
      </c>
    </row>
    <row r="30" spans="1:16" ht="27.95" customHeight="1" thickBot="1" x14ac:dyDescent="0.3">
      <c r="B30" s="6" t="s">
        <v>2</v>
      </c>
      <c r="C30" s="123" t="s">
        <v>1191</v>
      </c>
      <c r="D30" s="65" t="s">
        <v>3</v>
      </c>
      <c r="E30" s="65" t="s">
        <v>1113</v>
      </c>
      <c r="F30" s="65" t="s">
        <v>1114</v>
      </c>
      <c r="G30" s="65" t="s">
        <v>1164</v>
      </c>
      <c r="H30" s="65" t="s">
        <v>1165</v>
      </c>
      <c r="I30" s="57" t="s">
        <v>1115</v>
      </c>
      <c r="J30" s="57" t="s">
        <v>1194</v>
      </c>
      <c r="K30" s="61"/>
      <c r="L30" s="61" t="s">
        <v>938</v>
      </c>
      <c r="M30" s="61" t="s">
        <v>1159</v>
      </c>
      <c r="N30" s="62" t="s">
        <v>1160</v>
      </c>
    </row>
    <row r="31" spans="1:16" ht="27.95" customHeight="1" x14ac:dyDescent="0.25">
      <c r="A31" s="112" t="s">
        <v>1208</v>
      </c>
      <c r="B31" s="69" t="s">
        <v>1141</v>
      </c>
      <c r="C31" s="74" t="s">
        <v>1179</v>
      </c>
      <c r="D31" s="45" t="s">
        <v>928</v>
      </c>
      <c r="E31" s="101">
        <f>'BACKEND (companies data)'!J35</f>
        <v>42903998464</v>
      </c>
      <c r="F31" s="104"/>
      <c r="G31" s="85">
        <v>-1</v>
      </c>
      <c r="H31" s="77" t="s">
        <v>1142</v>
      </c>
      <c r="I31" s="91" t="s">
        <v>1193</v>
      </c>
      <c r="J31" s="85">
        <f t="shared" ref="J31" si="4">IF(I31="",0,IFERROR(VALUE(TRIM(RIGHT(I31,2))),0))</f>
        <v>0</v>
      </c>
      <c r="K31" s="61"/>
      <c r="L31" s="61" t="s">
        <v>939</v>
      </c>
      <c r="M31" s="61" t="s">
        <v>1161</v>
      </c>
      <c r="N31" s="62" t="s">
        <v>1142</v>
      </c>
    </row>
    <row r="32" spans="1:16" ht="27.95" customHeight="1" x14ac:dyDescent="0.25">
      <c r="A32" s="112" t="s">
        <v>1209</v>
      </c>
      <c r="B32" s="70" t="s">
        <v>1143</v>
      </c>
      <c r="C32" s="75" t="s">
        <v>1180</v>
      </c>
      <c r="D32" s="46" t="s">
        <v>936</v>
      </c>
      <c r="E32" s="102">
        <f>'BACKEND (companies data)'!J36</f>
        <v>201.02099999999999</v>
      </c>
      <c r="F32" s="106">
        <f>_xlfn.XLOOKUP($E$7,Table2[Sector],Table2[Debt/Equity],"",0)</f>
        <v>98.343500000000006</v>
      </c>
      <c r="G32" s="96">
        <v>-1</v>
      </c>
      <c r="H32" s="78" t="s">
        <v>1142</v>
      </c>
      <c r="I32" s="108" t="str">
        <f>IF(
    NOT(ISBLANK(F32)),
        IF(
            G32=1,
                IF(E32&gt;F32,"Good compared to average +1",IF(E32&lt;F32,"Bad compared to average -1","Equal to average 0")),
            IF(
                G32=-1,
                    IF(E32&lt;F32,"Good compared to average +1",IF(E32&gt;F32,"Bad compared to average -1","Equal to average 0")),
                    "Equal to average 0"
            )
        ),
        IF(
            OR(G32=1,G32=-1),
                IF(
                    G32=1,
                        IF(E32&gt;0,"Positive +1",IF(E32&lt;0,"Negative -1","Neutral 0")),
                    IF(
                        G32=-1,
                            IF(E32=0,"Positive +1","Negative -1"),
                            "Neutral 0"
                    )
                ),
            "Neutral 0"
        )
)</f>
        <v>Bad compared to average -1</v>
      </c>
      <c r="J32" s="96">
        <f t="shared" ref="J32:J34" si="5">IF(I32="",0,IFERROR(VALUE(TRIM(RIGHT(I32,2))),0))</f>
        <v>-1</v>
      </c>
      <c r="K32" s="61"/>
      <c r="L32" s="61" t="s">
        <v>933</v>
      </c>
      <c r="M32" s="61" t="s">
        <v>1162</v>
      </c>
      <c r="N32" s="62" t="s">
        <v>1163</v>
      </c>
    </row>
    <row r="33" spans="1:10" ht="27.95" customHeight="1" x14ac:dyDescent="0.25">
      <c r="A33" s="112" t="s">
        <v>1210</v>
      </c>
      <c r="B33" s="70" t="s">
        <v>1144</v>
      </c>
      <c r="C33" s="75" t="s">
        <v>1181</v>
      </c>
      <c r="D33" s="46" t="s">
        <v>937</v>
      </c>
      <c r="E33" s="102">
        <f>'BACKEND (companies data)'!J37</f>
        <v>4.0654488169195497</v>
      </c>
      <c r="F33" s="86"/>
      <c r="G33" s="96">
        <v>-1</v>
      </c>
      <c r="H33" s="78" t="s">
        <v>1145</v>
      </c>
      <c r="I33" s="108" t="str">
        <f>IF(E33&lt;0,
     "Net cash position, excellent leverage +1",
     IF(E33&lt;3,
          "Below 3x, strong leverage profile +1",
          IF(E33&lt;=5,
               "Between 3-5x, acceptable leverage 0",
               "Above 5x, high leverage risk -1"
          )
     )
)</f>
        <v>Between 3-5x, acceptable leverage 0</v>
      </c>
      <c r="J33" s="96">
        <f t="shared" si="5"/>
        <v>0</v>
      </c>
    </row>
    <row r="34" spans="1:10" ht="27.95" customHeight="1" thickBot="1" x14ac:dyDescent="0.3">
      <c r="A34" s="112" t="s">
        <v>1211</v>
      </c>
      <c r="B34" s="71" t="s">
        <v>1146</v>
      </c>
      <c r="C34" s="76" t="s">
        <v>1182</v>
      </c>
      <c r="D34" s="95" t="s">
        <v>929</v>
      </c>
      <c r="E34" s="103">
        <f>'BACKEND (companies data)'!J38</f>
        <v>1.18579052701801</v>
      </c>
      <c r="F34" s="105"/>
      <c r="G34" s="97">
        <v>1</v>
      </c>
      <c r="H34" s="79" t="s">
        <v>1147</v>
      </c>
      <c r="I34" s="81" t="str">
        <f>IF(E34&gt;5,
     "Coverage above 5x, strong ability to service debt +1",
     IF(E34&gt;=2,
          "Coverage between 2-5x, acceptable 0",
          "Coverage below 2x, weak ability to pay interest -1"
     )
)</f>
        <v>Coverage below 2x, weak ability to pay interest -1</v>
      </c>
      <c r="J34" s="97">
        <f t="shared" si="5"/>
        <v>-1</v>
      </c>
    </row>
    <row r="35" spans="1:10" ht="27.95" customHeight="1" thickBot="1" x14ac:dyDescent="0.3">
      <c r="A35" s="112"/>
      <c r="B35" s="61"/>
      <c r="D35" s="111"/>
      <c r="E35" s="114"/>
      <c r="F35"/>
      <c r="G35" s="16"/>
      <c r="H35" s="60"/>
      <c r="I35" s="113" t="s">
        <v>1222</v>
      </c>
      <c r="J35" s="113">
        <f>SUM(J31:O34)</f>
        <v>-2</v>
      </c>
    </row>
    <row r="36" spans="1:10" ht="15" customHeight="1" thickBot="1" x14ac:dyDescent="0.3"/>
    <row r="37" spans="1:10" ht="27.95" customHeight="1" thickBot="1" x14ac:dyDescent="0.3">
      <c r="B37" s="151" t="s">
        <v>948</v>
      </c>
      <c r="C37" s="152"/>
      <c r="D37" s="152"/>
      <c r="E37" s="152"/>
      <c r="F37" s="152"/>
      <c r="G37" s="152"/>
      <c r="H37" s="152"/>
      <c r="I37" s="153"/>
    </row>
    <row r="38" spans="1:10" ht="27.95" customHeight="1" thickBot="1" x14ac:dyDescent="0.3">
      <c r="B38" s="12" t="s">
        <v>2</v>
      </c>
      <c r="C38" s="123" t="s">
        <v>1191</v>
      </c>
      <c r="D38" s="65" t="s">
        <v>3</v>
      </c>
      <c r="E38" s="65" t="s">
        <v>1113</v>
      </c>
      <c r="F38" s="65" t="s">
        <v>1114</v>
      </c>
      <c r="G38" s="65" t="s">
        <v>1164</v>
      </c>
      <c r="H38" s="65" t="s">
        <v>1165</v>
      </c>
      <c r="I38" s="57" t="s">
        <v>1115</v>
      </c>
      <c r="J38" s="57" t="s">
        <v>1194</v>
      </c>
    </row>
    <row r="39" spans="1:10" ht="27.95" customHeight="1" x14ac:dyDescent="0.25">
      <c r="A39" s="112" t="s">
        <v>1212</v>
      </c>
      <c r="B39" s="69" t="s">
        <v>1149</v>
      </c>
      <c r="C39" s="74" t="s">
        <v>1183</v>
      </c>
      <c r="D39" s="45" t="s">
        <v>930</v>
      </c>
      <c r="E39" s="117">
        <f>'BACKEND (companies data)'!J41</f>
        <v>0.84299999999999997</v>
      </c>
      <c r="F39" s="104"/>
      <c r="G39" s="85">
        <v>1</v>
      </c>
      <c r="H39" s="77" t="s">
        <v>1150</v>
      </c>
      <c r="I39" s="80" t="str">
        <f>IF(E39&gt;1.5,
     "Current ratio &gt;1,5, strong liquidity +1",
     IF(E39&gt;=1,
          "Current ratio 1.0-1.5, acceptable liquidity 0",
          "Current ratio &lt;1,0, insufficient liquidity -1"
     )
)</f>
        <v>Current ratio &lt;1,0, insufficient liquidity -1</v>
      </c>
      <c r="J39" s="85">
        <f t="shared" ref="J39:J40" si="6">IF(I39="",0,IFERROR(VALUE(TRIM(RIGHT(I39,2))),0))</f>
        <v>-1</v>
      </c>
    </row>
    <row r="40" spans="1:10" ht="27.95" customHeight="1" thickBot="1" x14ac:dyDescent="0.3">
      <c r="A40" s="112" t="s">
        <v>1213</v>
      </c>
      <c r="B40" s="71" t="s">
        <v>1151</v>
      </c>
      <c r="C40" s="76" t="s">
        <v>1184</v>
      </c>
      <c r="D40" s="95" t="s">
        <v>931</v>
      </c>
      <c r="E40" s="116">
        <f>'BACKEND (companies data)'!J42</f>
        <v>0.66900000000000004</v>
      </c>
      <c r="F40" s="105"/>
      <c r="G40" s="97">
        <v>1</v>
      </c>
      <c r="H40" s="79" t="s">
        <v>1152</v>
      </c>
      <c r="I40" s="109" t="str">
        <f>IF(E40&gt;1,
     "Quick ratio &gt;1,0, strong short-term liquidity +1",
     IF(E40&gt;=0.7,
          "Quick ratio 0.7-1.0, acceptable liquidity 0",
          "Quick ratio &lt;0,7, weak liquidity -1"
     )
)</f>
        <v>Quick ratio &lt;0,7, weak liquidity -1</v>
      </c>
      <c r="J40" s="97">
        <f t="shared" si="6"/>
        <v>-1</v>
      </c>
    </row>
    <row r="41" spans="1:10" ht="27.95" customHeight="1" thickBot="1" x14ac:dyDescent="0.3">
      <c r="A41" s="112"/>
      <c r="B41" s="61"/>
      <c r="D41" s="66"/>
      <c r="E41" s="50"/>
      <c r="F41"/>
      <c r="G41" s="16"/>
      <c r="H41" s="60"/>
      <c r="I41" s="113" t="s">
        <v>1221</v>
      </c>
      <c r="J41" s="113">
        <f>SUM(J39:O40)</f>
        <v>-2</v>
      </c>
    </row>
    <row r="42" spans="1:10" ht="15" customHeight="1" thickBot="1" x14ac:dyDescent="0.3"/>
    <row r="43" spans="1:10" ht="27.95" customHeight="1" thickBot="1" x14ac:dyDescent="0.3">
      <c r="B43" s="154" t="s">
        <v>949</v>
      </c>
      <c r="C43" s="155"/>
      <c r="D43" s="155"/>
      <c r="E43" s="155"/>
      <c r="F43" s="155"/>
      <c r="G43" s="155"/>
      <c r="H43" s="155"/>
      <c r="I43" s="156"/>
    </row>
    <row r="44" spans="1:10" ht="27.95" customHeight="1" thickBot="1" x14ac:dyDescent="0.3">
      <c r="B44" s="12" t="s">
        <v>2</v>
      </c>
      <c r="C44" s="124" t="s">
        <v>1191</v>
      </c>
      <c r="D44" s="65" t="s">
        <v>3</v>
      </c>
      <c r="E44" s="65" t="s">
        <v>1113</v>
      </c>
      <c r="F44" s="65" t="s">
        <v>1114</v>
      </c>
      <c r="G44" s="65" t="s">
        <v>1164</v>
      </c>
      <c r="H44" s="65" t="s">
        <v>1165</v>
      </c>
      <c r="I44" s="57" t="s">
        <v>1115</v>
      </c>
      <c r="J44" s="57" t="s">
        <v>1194</v>
      </c>
    </row>
    <row r="45" spans="1:10" ht="27.95" customHeight="1" x14ac:dyDescent="0.25">
      <c r="A45" s="112" t="s">
        <v>1214</v>
      </c>
      <c r="B45" s="69" t="s">
        <v>1153</v>
      </c>
      <c r="C45" s="74" t="s">
        <v>1185</v>
      </c>
      <c r="D45" s="45" t="s">
        <v>253</v>
      </c>
      <c r="E45" s="118">
        <f>'BACKEND (companies data)'!J45</f>
        <v>19644282880</v>
      </c>
      <c r="F45" s="104"/>
      <c r="G45" s="98"/>
      <c r="H45" s="77" t="s">
        <v>1154</v>
      </c>
      <c r="I45" s="107"/>
      <c r="J45" s="85">
        <f t="shared" ref="J45:J50" si="7">IF(I45="",0,IFERROR(VALUE(TRIM(RIGHT(I45,2))),0))</f>
        <v>0</v>
      </c>
    </row>
    <row r="46" spans="1:10" ht="27.95" customHeight="1" x14ac:dyDescent="0.25">
      <c r="A46" s="112" t="s">
        <v>1215</v>
      </c>
      <c r="B46" s="70" t="s">
        <v>1156</v>
      </c>
      <c r="C46" s="75" t="s">
        <v>1186</v>
      </c>
      <c r="D46" s="46" t="s">
        <v>932</v>
      </c>
      <c r="E46" s="119">
        <f>'BACKEND (companies data)'!J46</f>
        <v>61863395328</v>
      </c>
      <c r="F46" s="86"/>
      <c r="G46" s="99" t="s">
        <v>1166</v>
      </c>
      <c r="H46" s="78" t="s">
        <v>1157</v>
      </c>
      <c r="I46" s="108"/>
      <c r="J46" s="96">
        <f t="shared" si="7"/>
        <v>0</v>
      </c>
    </row>
    <row r="47" spans="1:10" ht="27.95" customHeight="1" x14ac:dyDescent="0.25">
      <c r="A47" s="112" t="s">
        <v>1216</v>
      </c>
      <c r="B47" s="70" t="s">
        <v>1158</v>
      </c>
      <c r="C47" s="75" t="s">
        <v>1187</v>
      </c>
      <c r="D47" s="46" t="s">
        <v>62</v>
      </c>
      <c r="E47" s="120">
        <f>'BACKEND (companies data)'!J47</f>
        <v>6.53</v>
      </c>
      <c r="F47" s="121">
        <f>_xlfn.XLOOKUP($E$7,Table2[Sector],Table2[EV/EBITDA],"",0)</f>
        <v>9.1464999999999996</v>
      </c>
      <c r="G47" s="99">
        <v>-1</v>
      </c>
      <c r="H47" s="78" t="s">
        <v>1124</v>
      </c>
      <c r="I47" s="108" t="str">
        <f>IF(
    NOT(ISBLANK(F47)),
        IF(
            G47=1,
                IF(E47&gt;F47,"Good compared to average +1",IF(E47&lt;F47,"Bad compared to average -1","Equal to average 0")),
            IF(
                G47=-1,
                    IF(E47&lt;F47,"Good compared to average +1",IF(E47&gt;F47,"Bad compared to average -1","Equal to average 0")),
                    "Equal to average 0"
            )
        ),
        IF(
            OR(G47=1,G47=-1),
                IF(
                    G47=1,
                        IF(E47&gt;0,"Positive +1",IF(E47&lt;0,"Negative -1","Neutral 0")),
                    IF(
                        G47=-1,
                            IF(E47=0,"Positive +1","Negative -1"),
                            "Neutral 0"
                    )
                ),
            "Neutral 0"
        )
)</f>
        <v>Good compared to average +1</v>
      </c>
      <c r="J47" s="96">
        <f t="shared" si="7"/>
        <v>1</v>
      </c>
    </row>
    <row r="48" spans="1:10" ht="27.95" customHeight="1" x14ac:dyDescent="0.25">
      <c r="A48" s="112" t="s">
        <v>1217</v>
      </c>
      <c r="B48" s="70" t="s">
        <v>1159</v>
      </c>
      <c r="C48" s="75" t="s">
        <v>1188</v>
      </c>
      <c r="D48" s="46" t="s">
        <v>938</v>
      </c>
      <c r="E48" s="120">
        <f>'BACKEND (companies data)'!J48</f>
        <v>1.11392</v>
      </c>
      <c r="F48" s="121">
        <f>_xlfn.XLOOKUP($E$7,Table2[Sector],Table2[Price/Book],"",0)</f>
        <v>1.8083359000000001</v>
      </c>
      <c r="G48" s="99">
        <v>-1</v>
      </c>
      <c r="H48" s="78" t="s">
        <v>1160</v>
      </c>
      <c r="I48" s="108" t="str">
        <f>IF(
    NOT(ISBLANK(F48)),
        IF(
            G48=1,
                IF(E48&gt;F48,"Good compared to average +1",IF(E48&lt;F48,"Bad compared to average -1","Equal to average 0")),
            IF(
                G48=-1,
                    IF(E48&lt;F48,"Good compared to average +1",IF(E48&gt;F48,"Bad compared to average -1","Equal to average 0")),
                    "Equal to average 0"
            )
        ),
        IF(
            OR(G48=1,G48=-1),
                IF(
                    G48=1,
                        IF(E48&gt;0,"Positive +1",IF(E48&lt;0,"Negative -1","Neutral 0")),
                    IF(
                        G48=-1,
                            IF(E48=0,"Positive +1","Negative -1"),
                            "Neutral 0"
                    )
                ),
            "Neutral 0"
        )
)</f>
        <v>Good compared to average +1</v>
      </c>
      <c r="J48" s="96">
        <f t="shared" si="7"/>
        <v>1</v>
      </c>
    </row>
    <row r="49" spans="1:10" ht="27.95" customHeight="1" x14ac:dyDescent="0.25">
      <c r="A49" s="112" t="s">
        <v>1218</v>
      </c>
      <c r="B49" s="70" t="s">
        <v>1161</v>
      </c>
      <c r="C49" s="75" t="s">
        <v>1189</v>
      </c>
      <c r="D49" s="46" t="s">
        <v>939</v>
      </c>
      <c r="E49" s="120">
        <f>'BACKEND (companies data)'!J49</f>
        <v>0.47199141999999999</v>
      </c>
      <c r="F49" s="121">
        <f>_xlfn.XLOOKUP($E$7,Table2[Sector],Table2[Price/Sales],"",0)</f>
        <v>1.4641069499999999</v>
      </c>
      <c r="G49" s="99">
        <v>-1</v>
      </c>
      <c r="H49" s="78" t="s">
        <v>1142</v>
      </c>
      <c r="I49" s="108" t="str">
        <f>IF(
    NOT(ISBLANK(F49)),
        IF(
            G49=1,
                IF(E49&gt;F49,"Good compared to average +1",IF(E49&lt;F49,"Bad compared to average -1","Equal to average 0")),
            IF(
                G49=-1,
                    IF(E49&lt;F49,"Good compared to average +1",IF(E49&gt;F49,"Bad compared to average -1","Equal to average 0")),
                    "Equal to average 0"
            )
        ),
        IF(
            OR(G49=1,G49=-1),
                IF(
                    G49=1,
                        IF(E49&gt;0,"Positive +1",IF(E49&lt;0,"Negative -1","Neutral 0")),
                    IF(
                        G49=-1,
                            IF(E49=0,"Positive +1","Negative -1"),
                            "Neutral 0"
                    )
                ),
            "Neutral 0"
        )
)</f>
        <v>Good compared to average +1</v>
      </c>
      <c r="J49" s="96">
        <f t="shared" si="7"/>
        <v>1</v>
      </c>
    </row>
    <row r="50" spans="1:10" ht="27.95" customHeight="1" thickBot="1" x14ac:dyDescent="0.3">
      <c r="A50" s="112" t="s">
        <v>1219</v>
      </c>
      <c r="B50" s="71" t="s">
        <v>1162</v>
      </c>
      <c r="C50" s="76" t="s">
        <v>1190</v>
      </c>
      <c r="D50" s="95" t="s">
        <v>933</v>
      </c>
      <c r="E50" s="122">
        <f>'BACKEND (companies data)'!J50</f>
        <v>8.6199999999999999E-2</v>
      </c>
      <c r="F50" s="73">
        <f>_xlfn.XLOOKUP($E$7,Table2[Sector],Table2[Dividend Yield],"",0)</f>
        <v>2.9899999999999999E-2</v>
      </c>
      <c r="G50" s="100">
        <v>1</v>
      </c>
      <c r="H50" s="79" t="s">
        <v>1163</v>
      </c>
      <c r="I50" s="109" t="str">
        <f>IF(
    NOT(ISBLANK(F50)),
        IF(
            G50=1,
                IF(E50&gt;F50,"Good compared to average +1",IF(E50&lt;F50,"Bad compared to average -1","Equal to average 0")),
            IF(
                G50=-1,
                    IF(E50&lt;F50,"Good compared to average +1",IF(E50&gt;F50,"Bad compared to average -1","Equal to average 0")),
                    "Equal to average 0"
            )
        ),
        IF(
            OR(G50=1,G50=-1),
                IF(
                    G50=1,
                        IF(E50&gt;0,"Positive +1",IF(E50&lt;0,"Negative -1","Neutral 0")),
                    IF(
                        G50=-1,
                            IF(E50=0,"Positive +1","Negative -1"),
                            "Neutral 0"
                    )
                ),
            "Neutral 0"
        )
)</f>
        <v>Good compared to average +1</v>
      </c>
      <c r="J50" s="97">
        <f t="shared" si="7"/>
        <v>1</v>
      </c>
    </row>
    <row r="51" spans="1:10" ht="27.95" customHeight="1" thickBot="1" x14ac:dyDescent="0.3">
      <c r="I51" s="113" t="s">
        <v>1223</v>
      </c>
      <c r="J51" s="113">
        <f>SUM(J45:O50)</f>
        <v>4</v>
      </c>
    </row>
    <row r="52" spans="1:10" ht="15" customHeight="1" thickBot="1" x14ac:dyDescent="0.3"/>
    <row r="53" spans="1:10" ht="27.95" customHeight="1" thickBot="1" x14ac:dyDescent="0.3">
      <c r="I53" s="115" t="s">
        <v>1224</v>
      </c>
      <c r="J53" s="113">
        <f>SUM(J51,J41,J35,J27,J19)</f>
        <v>-2</v>
      </c>
    </row>
    <row r="54" spans="1:10" ht="27.95" customHeight="1" thickBot="1" x14ac:dyDescent="0.3">
      <c r="I54" s="115" t="s">
        <v>1225</v>
      </c>
      <c r="J54" s="113">
        <f>SUM(J47:J49)+SUM(J33)+SUM(J15:J17,J12:J13)</f>
        <v>0</v>
      </c>
    </row>
  </sheetData>
  <mergeCells count="14">
    <mergeCell ref="B37:I37"/>
    <mergeCell ref="B43:I43"/>
    <mergeCell ref="F3:I3"/>
    <mergeCell ref="B1:P1"/>
    <mergeCell ref="F2:I2"/>
    <mergeCell ref="B9:I9"/>
    <mergeCell ref="B21:I21"/>
    <mergeCell ref="B29:I29"/>
    <mergeCell ref="B6:C6"/>
    <mergeCell ref="B7:C7"/>
    <mergeCell ref="E6:F6"/>
    <mergeCell ref="E7:F7"/>
    <mergeCell ref="G6:I6"/>
    <mergeCell ref="G7:I7"/>
  </mergeCells>
  <phoneticPr fontId="12" type="noConversion"/>
  <conditionalFormatting sqref="G11:G19">
    <cfRule type="iconSet" priority="29">
      <iconSet iconSet="3Arrows" showValue="0">
        <cfvo type="percent" val="0"/>
        <cfvo type="num" val="0"/>
        <cfvo type="num" val="0"/>
      </iconSet>
    </cfRule>
  </conditionalFormatting>
  <conditionalFormatting sqref="G23:G27">
    <cfRule type="iconSet" priority="27">
      <iconSet iconSet="3Arrows" showValue="0">
        <cfvo type="percent" val="0"/>
        <cfvo type="num" val="0"/>
        <cfvo type="num" val="1"/>
      </iconSet>
    </cfRule>
  </conditionalFormatting>
  <conditionalFormatting sqref="G31:G35">
    <cfRule type="iconSet" priority="26">
      <iconSet iconSet="3Arrows" showValue="0">
        <cfvo type="percent" val="0"/>
        <cfvo type="num" val="0"/>
        <cfvo type="num" val="1"/>
      </iconSet>
    </cfRule>
  </conditionalFormatting>
  <conditionalFormatting sqref="G39:G41">
    <cfRule type="iconSet" priority="25">
      <iconSet iconSet="3Arrows" showValue="0">
        <cfvo type="percent" val="0"/>
        <cfvo type="num" val="0"/>
        <cfvo type="num" val="1"/>
      </iconSet>
    </cfRule>
  </conditionalFormatting>
  <conditionalFormatting sqref="G45:G50">
    <cfRule type="iconSet" priority="24">
      <iconSet iconSet="3Arrows" showValue="0">
        <cfvo type="percent" val="0"/>
        <cfvo type="num" val="0"/>
        <cfvo type="num" val="1"/>
      </iconSet>
    </cfRule>
  </conditionalFormatting>
  <conditionalFormatting sqref="J11:J18">
    <cfRule type="iconSet" priority="23">
      <iconSet>
        <cfvo type="percent" val="0"/>
        <cfvo type="num" val="0"/>
        <cfvo type="num" val="1"/>
      </iconSet>
    </cfRule>
  </conditionalFormatting>
  <conditionalFormatting sqref="J23">
    <cfRule type="iconSet" priority="21">
      <iconSet>
        <cfvo type="percent" val="0"/>
        <cfvo type="num" val="0"/>
        <cfvo type="num" val="1"/>
      </iconSet>
    </cfRule>
  </conditionalFormatting>
  <conditionalFormatting sqref="J24">
    <cfRule type="iconSet" priority="20">
      <iconSet>
        <cfvo type="percent" val="0"/>
        <cfvo type="num" val="0"/>
        <cfvo type="num" val="1"/>
      </iconSet>
    </cfRule>
  </conditionalFormatting>
  <conditionalFormatting sqref="J25">
    <cfRule type="iconSet" priority="19">
      <iconSet>
        <cfvo type="percent" val="0"/>
        <cfvo type="num" val="0"/>
        <cfvo type="num" val="1"/>
      </iconSet>
    </cfRule>
  </conditionalFormatting>
  <conditionalFormatting sqref="J26">
    <cfRule type="iconSet" priority="18">
      <iconSet>
        <cfvo type="percent" val="0"/>
        <cfvo type="num" val="0"/>
        <cfvo type="num" val="1"/>
      </iconSet>
    </cfRule>
  </conditionalFormatting>
  <conditionalFormatting sqref="J32">
    <cfRule type="iconSet" priority="17">
      <iconSet>
        <cfvo type="percent" val="0"/>
        <cfvo type="num" val="0"/>
        <cfvo type="num" val="1"/>
      </iconSet>
    </cfRule>
  </conditionalFormatting>
  <conditionalFormatting sqref="J31">
    <cfRule type="iconSet" priority="16">
      <iconSet>
        <cfvo type="percent" val="0"/>
        <cfvo type="num" val="0"/>
        <cfvo type="num" val="1"/>
      </iconSet>
    </cfRule>
  </conditionalFormatting>
  <conditionalFormatting sqref="J33">
    <cfRule type="iconSet" priority="15">
      <iconSet>
        <cfvo type="percent" val="0"/>
        <cfvo type="num" val="0"/>
        <cfvo type="num" val="1"/>
      </iconSet>
    </cfRule>
  </conditionalFormatting>
  <conditionalFormatting sqref="J34">
    <cfRule type="iconSet" priority="14">
      <iconSet>
        <cfvo type="percent" val="0"/>
        <cfvo type="num" val="0"/>
        <cfvo type="num" val="1"/>
      </iconSet>
    </cfRule>
  </conditionalFormatting>
  <conditionalFormatting sqref="J39">
    <cfRule type="iconSet" priority="13">
      <iconSet>
        <cfvo type="percent" val="0"/>
        <cfvo type="num" val="0"/>
        <cfvo type="num" val="1"/>
      </iconSet>
    </cfRule>
  </conditionalFormatting>
  <conditionalFormatting sqref="J40">
    <cfRule type="iconSet" priority="12">
      <iconSet>
        <cfvo type="percent" val="0"/>
        <cfvo type="num" val="0"/>
        <cfvo type="num" val="1"/>
      </iconSet>
    </cfRule>
  </conditionalFormatting>
  <conditionalFormatting sqref="J45">
    <cfRule type="iconSet" priority="11">
      <iconSet>
        <cfvo type="percent" val="0"/>
        <cfvo type="num" val="0"/>
        <cfvo type="num" val="1"/>
      </iconSet>
    </cfRule>
  </conditionalFormatting>
  <conditionalFormatting sqref="J46">
    <cfRule type="iconSet" priority="10">
      <iconSet>
        <cfvo type="percent" val="0"/>
        <cfvo type="num" val="0"/>
        <cfvo type="num" val="1"/>
      </iconSet>
    </cfRule>
  </conditionalFormatting>
  <conditionalFormatting sqref="J47">
    <cfRule type="iconSet" priority="9">
      <iconSet>
        <cfvo type="percent" val="0"/>
        <cfvo type="num" val="0"/>
        <cfvo type="num" val="1"/>
      </iconSet>
    </cfRule>
  </conditionalFormatting>
  <conditionalFormatting sqref="J48">
    <cfRule type="iconSet" priority="8">
      <iconSet>
        <cfvo type="percent" val="0"/>
        <cfvo type="num" val="0"/>
        <cfvo type="num" val="1"/>
      </iconSet>
    </cfRule>
  </conditionalFormatting>
  <conditionalFormatting sqref="J49">
    <cfRule type="iconSet" priority="7">
      <iconSet>
        <cfvo type="percent" val="0"/>
        <cfvo type="num" val="0"/>
        <cfvo type="num" val="1"/>
      </iconSet>
    </cfRule>
  </conditionalFormatting>
  <conditionalFormatting sqref="J50">
    <cfRule type="iconSet" priority="6">
      <iconSet>
        <cfvo type="percent" val="0"/>
        <cfvo type="num" val="0"/>
        <cfvo type="num" val="1"/>
      </iconSet>
    </cfRule>
  </conditionalFormatting>
  <conditionalFormatting sqref="E3">
    <cfRule type="containsText" dxfId="8" priority="1" operator="containsText" text="Sell hard">
      <formula>NOT(ISERROR(SEARCH("Sell hard",E3)))</formula>
    </cfRule>
    <cfRule type="containsText" dxfId="7" priority="2" operator="containsText" text="Sell">
      <formula>NOT(ISERROR(SEARCH("Sell",E3)))</formula>
    </cfRule>
    <cfRule type="containsText" dxfId="6" priority="3" operator="containsText" text="Hold">
      <formula>NOT(ISERROR(SEARCH("Hold",E3)))</formula>
    </cfRule>
    <cfRule type="containsText" dxfId="5" priority="4" operator="containsText" text="Buy hard">
      <formula>NOT(ISERROR(SEARCH("Buy hard",E3)))</formula>
    </cfRule>
    <cfRule type="containsText" dxfId="4" priority="5" operator="containsText" text="Buy">
      <formula>NOT(ISERROR(SEARCH("Buy",E3)))</formula>
    </cfRule>
  </conditionalFormatting>
  <hyperlinks>
    <hyperlink ref="A4" r:id="rId1" display="ignasi.garcia.martin.e@gmail.com" xr:uid="{916A6A58-CD70-4E98-BD3B-147FE8F3E014}"/>
    <hyperlink ref="A5" r:id="rId2" xr:uid="{830D1559-47CD-443D-BCF3-E63F9DA14C3A}"/>
    <hyperlink ref="A6" r:id="rId3" xr:uid="{95F69A48-A874-4350-84D5-DA4640644AEC}"/>
  </hyperlinks>
  <pageMargins left="0.7" right="0.7" top="0.75" bottom="0.75" header="0.3" footer="0.3"/>
  <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16A686-E433-4FD2-BE97-DD54124CF877}">
          <x14:formula1>
            <xm:f>'BACKEND (companies data)'!$AZ$2:$AZ$426</xm:f>
          </x14:formula1>
          <xm:sqref>F3:I3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3D6C8-A6E9-4733-A627-928AB1E8D2AB}">
  <sheetPr codeName="Hoja1"/>
  <dimension ref="A1:BX426"/>
  <sheetViews>
    <sheetView showGridLines="0" zoomScale="70" zoomScaleNormal="70" workbookViewId="0">
      <selection activeCell="O16" sqref="O16"/>
    </sheetView>
  </sheetViews>
  <sheetFormatPr defaultColWidth="11.42578125" defaultRowHeight="15" x14ac:dyDescent="0.25"/>
  <cols>
    <col min="1" max="1" width="59" bestFit="1" customWidth="1"/>
    <col min="2" max="2" width="11.42578125" customWidth="1"/>
    <col min="3" max="7" width="11.42578125" hidden="1" customWidth="1"/>
    <col min="8" max="8" width="0" hidden="1" customWidth="1"/>
    <col min="9" max="9" width="44" bestFit="1" customWidth="1"/>
    <col min="10" max="10" width="16.85546875" bestFit="1" customWidth="1"/>
    <col min="11" max="11" width="32.140625" bestFit="1" customWidth="1"/>
    <col min="14" max="14" width="19.85546875" customWidth="1"/>
    <col min="15" max="15" width="28.140625" bestFit="1" customWidth="1"/>
    <col min="16" max="16" width="27.85546875" bestFit="1" customWidth="1"/>
    <col min="17" max="17" width="52.85546875" bestFit="1" customWidth="1"/>
    <col min="52" max="53" width="11.5703125" customWidth="1"/>
    <col min="56" max="56" width="13.7109375" customWidth="1"/>
    <col min="58" max="58" width="23.140625" bestFit="1" customWidth="1"/>
    <col min="60" max="60" width="14" customWidth="1"/>
    <col min="61" max="61" width="12.7109375" customWidth="1"/>
    <col min="62" max="62" width="13.7109375" customWidth="1"/>
    <col min="63" max="63" width="13.140625" customWidth="1"/>
    <col min="64" max="64" width="16" customWidth="1"/>
    <col min="65" max="65" width="18.42578125" customWidth="1"/>
    <col min="66" max="66" width="12.7109375" customWidth="1"/>
    <col min="69" max="69" width="16.140625" customWidth="1"/>
    <col min="70" max="70" width="13.5703125" customWidth="1"/>
    <col min="71" max="71" width="18.140625" customWidth="1"/>
    <col min="72" max="72" width="18.7109375" customWidth="1"/>
    <col min="73" max="73" width="15" customWidth="1"/>
    <col min="74" max="74" width="13.5703125" customWidth="1"/>
    <col min="75" max="75" width="13.42578125" customWidth="1"/>
    <col min="76" max="76" width="17.85546875" customWidth="1"/>
  </cols>
  <sheetData>
    <row r="1" spans="1:76" ht="39.950000000000003" customHeight="1" x14ac:dyDescent="0.25">
      <c r="A1" s="167" t="s">
        <v>46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7"/>
      <c r="AE1" s="17"/>
      <c r="AF1" s="17"/>
      <c r="AY1" t="s">
        <v>258</v>
      </c>
      <c r="AZ1" t="s">
        <v>259</v>
      </c>
      <c r="BA1" t="s">
        <v>260</v>
      </c>
      <c r="BB1" t="s">
        <v>979</v>
      </c>
      <c r="BC1" t="s">
        <v>978</v>
      </c>
      <c r="BD1" t="s">
        <v>980</v>
      </c>
      <c r="BF1" t="s">
        <v>979</v>
      </c>
      <c r="BG1" t="s">
        <v>934</v>
      </c>
      <c r="BH1" t="s">
        <v>922</v>
      </c>
      <c r="BI1" t="s">
        <v>62</v>
      </c>
      <c r="BJ1" t="s">
        <v>939</v>
      </c>
      <c r="BK1" t="s">
        <v>938</v>
      </c>
      <c r="BL1" t="s">
        <v>933</v>
      </c>
      <c r="BM1" t="s">
        <v>923</v>
      </c>
      <c r="BN1" t="s">
        <v>924</v>
      </c>
      <c r="BO1" t="s">
        <v>84</v>
      </c>
      <c r="BP1" t="s">
        <v>254</v>
      </c>
      <c r="BQ1" t="s">
        <v>927</v>
      </c>
      <c r="BR1" t="s">
        <v>936</v>
      </c>
      <c r="BS1" t="s">
        <v>937</v>
      </c>
      <c r="BT1" t="s">
        <v>929</v>
      </c>
      <c r="BU1" t="s">
        <v>930</v>
      </c>
      <c r="BV1" t="s">
        <v>931</v>
      </c>
      <c r="BW1" t="s">
        <v>253</v>
      </c>
      <c r="BX1" t="s">
        <v>932</v>
      </c>
    </row>
    <row r="2" spans="1:76" x14ac:dyDescent="0.25">
      <c r="A2" t="s">
        <v>973</v>
      </c>
      <c r="AY2" t="s">
        <v>55</v>
      </c>
      <c r="AZ2" t="s">
        <v>261</v>
      </c>
      <c r="BA2" t="s">
        <v>262</v>
      </c>
      <c r="BB2" t="s">
        <v>981</v>
      </c>
      <c r="BC2" t="s">
        <v>982</v>
      </c>
      <c r="BD2" t="s">
        <v>983</v>
      </c>
      <c r="BF2" t="s">
        <v>986</v>
      </c>
      <c r="BG2">
        <v>17.663516999999999</v>
      </c>
      <c r="BH2">
        <v>15.117943500000001</v>
      </c>
      <c r="BI2">
        <v>9.1464999999999996</v>
      </c>
      <c r="BJ2">
        <v>1.4641069499999999</v>
      </c>
      <c r="BK2">
        <v>1.8083359000000001</v>
      </c>
      <c r="BL2">
        <v>2.9899999999999999E-2</v>
      </c>
      <c r="BM2">
        <v>0.28678500000000001</v>
      </c>
      <c r="BN2">
        <v>0.10983</v>
      </c>
      <c r="BO2">
        <v>0.14074</v>
      </c>
      <c r="BP2">
        <v>4.0210000000000003E-2</v>
      </c>
      <c r="BR2">
        <v>98.343500000000006</v>
      </c>
      <c r="BU2">
        <v>0.88200000000000001</v>
      </c>
      <c r="BV2">
        <v>0.70699999999999996</v>
      </c>
      <c r="BW2">
        <v>33910810624</v>
      </c>
      <c r="BX2">
        <v>74841776128</v>
      </c>
    </row>
    <row r="3" spans="1:76" ht="30" x14ac:dyDescent="0.25">
      <c r="A3" s="54" t="s">
        <v>974</v>
      </c>
      <c r="AY3" t="s">
        <v>144</v>
      </c>
      <c r="AZ3" t="s">
        <v>145</v>
      </c>
      <c r="BA3" t="s">
        <v>262</v>
      </c>
      <c r="BB3" t="s">
        <v>981</v>
      </c>
      <c r="BC3" t="s">
        <v>984</v>
      </c>
      <c r="BD3" t="s">
        <v>985</v>
      </c>
      <c r="BF3" t="s">
        <v>989</v>
      </c>
      <c r="BG3">
        <v>21.644848</v>
      </c>
      <c r="BH3">
        <v>18.046246499999999</v>
      </c>
      <c r="BI3">
        <v>15.765499999999999</v>
      </c>
      <c r="BJ3">
        <v>1.1855081000000001</v>
      </c>
      <c r="BK3">
        <v>1.8949157000000001</v>
      </c>
      <c r="BL3">
        <v>2.1000000000000001E-2</v>
      </c>
      <c r="BM3">
        <v>0.122489996</v>
      </c>
      <c r="BN3">
        <v>6.2340002999999998E-2</v>
      </c>
      <c r="BO3">
        <v>0.11191</v>
      </c>
      <c r="BP3">
        <v>3.8554999999999999E-2</v>
      </c>
      <c r="BR3">
        <v>57.825000000000003</v>
      </c>
      <c r="BU3">
        <v>1.2645</v>
      </c>
      <c r="BV3">
        <v>0.76500000000000001</v>
      </c>
      <c r="BW3">
        <v>58579337216</v>
      </c>
      <c r="BX3">
        <v>82393624576</v>
      </c>
    </row>
    <row r="4" spans="1:76" hidden="1" x14ac:dyDescent="0.25">
      <c r="AY4" t="s">
        <v>110</v>
      </c>
      <c r="AZ4" t="s">
        <v>263</v>
      </c>
      <c r="BA4" t="s">
        <v>262</v>
      </c>
      <c r="BB4" t="s">
        <v>986</v>
      </c>
      <c r="BC4" t="s">
        <v>987</v>
      </c>
      <c r="BD4" t="s">
        <v>988</v>
      </c>
      <c r="BF4" t="s">
        <v>1003</v>
      </c>
      <c r="BG4">
        <v>21.814814500000001</v>
      </c>
      <c r="BH4">
        <v>17.555008000000001</v>
      </c>
      <c r="BI4">
        <v>12.571999999999999</v>
      </c>
      <c r="BJ4">
        <v>1.8279349</v>
      </c>
      <c r="BK4">
        <v>3.0912191999999998</v>
      </c>
      <c r="BL4">
        <v>3.0599999999999999E-2</v>
      </c>
      <c r="BM4">
        <v>0.20749498999999999</v>
      </c>
      <c r="BN4">
        <v>9.3799999999999994E-2</v>
      </c>
      <c r="BO4">
        <v>0.17733499999999999</v>
      </c>
      <c r="BP4">
        <v>7.7435002000000003E-2</v>
      </c>
      <c r="BR4">
        <v>78.195999999999998</v>
      </c>
      <c r="BU4">
        <v>0.85750000000000004</v>
      </c>
      <c r="BV4">
        <v>0.53300000000000003</v>
      </c>
      <c r="BW4">
        <v>49058705408</v>
      </c>
      <c r="BX4">
        <v>61175963648</v>
      </c>
    </row>
    <row r="5" spans="1:76" hidden="1" x14ac:dyDescent="0.25">
      <c r="AY5" t="s">
        <v>73</v>
      </c>
      <c r="AZ5" t="s">
        <v>264</v>
      </c>
      <c r="BA5" t="s">
        <v>262</v>
      </c>
      <c r="BB5" t="s">
        <v>989</v>
      </c>
      <c r="BC5" t="s">
        <v>990</v>
      </c>
      <c r="BD5" t="s">
        <v>991</v>
      </c>
      <c r="BF5" t="s">
        <v>1006</v>
      </c>
      <c r="BG5">
        <v>15.129337</v>
      </c>
      <c r="BH5">
        <v>11.156226</v>
      </c>
      <c r="BI5">
        <v>5.5235000000000003</v>
      </c>
      <c r="BJ5">
        <v>1.1803214</v>
      </c>
      <c r="BK5">
        <v>1.4654210999999999</v>
      </c>
      <c r="BL5">
        <v>5.4300000000000001E-2</v>
      </c>
      <c r="BM5">
        <v>0.19695001000000001</v>
      </c>
      <c r="BN5">
        <v>8.7474997499999999E-2</v>
      </c>
      <c r="BO5">
        <v>8.6389999999999995E-2</v>
      </c>
      <c r="BP5">
        <v>4.4525000000000002E-2</v>
      </c>
      <c r="BR5">
        <v>50.301499999999997</v>
      </c>
      <c r="BU5">
        <v>1.1445000000000001</v>
      </c>
      <c r="BV5">
        <v>0.72</v>
      </c>
      <c r="BW5">
        <v>99905806336</v>
      </c>
      <c r="BX5">
        <v>160213188608</v>
      </c>
    </row>
    <row r="6" spans="1:76" hidden="1" x14ac:dyDescent="0.25">
      <c r="AY6" t="s">
        <v>151</v>
      </c>
      <c r="AZ6" t="s">
        <v>265</v>
      </c>
      <c r="BA6" t="s">
        <v>262</v>
      </c>
      <c r="BB6" t="s">
        <v>981</v>
      </c>
      <c r="BC6" t="s">
        <v>992</v>
      </c>
      <c r="BD6" t="s">
        <v>992</v>
      </c>
      <c r="BF6" t="s">
        <v>995</v>
      </c>
      <c r="BG6">
        <v>12.009563500000001</v>
      </c>
      <c r="BH6">
        <v>12.75711375</v>
      </c>
      <c r="BI6">
        <v>6.3765000000000001</v>
      </c>
      <c r="BJ6">
        <v>3.1750455</v>
      </c>
      <c r="BK6">
        <v>1.5754783999999999</v>
      </c>
      <c r="BL6">
        <v>3.8699999999999998E-2</v>
      </c>
      <c r="BM6">
        <v>0</v>
      </c>
      <c r="BN6">
        <v>0.26962998999999999</v>
      </c>
      <c r="BO6">
        <v>0.13369</v>
      </c>
      <c r="BP6">
        <v>8.7099997000000002E-3</v>
      </c>
      <c r="BR6">
        <v>43.164000000000001</v>
      </c>
      <c r="BU6">
        <v>1.4930000000000001</v>
      </c>
      <c r="BV6">
        <v>1.1165</v>
      </c>
      <c r="BW6">
        <v>78119837696</v>
      </c>
      <c r="BX6">
        <v>64533282816</v>
      </c>
    </row>
    <row r="7" spans="1:76" x14ac:dyDescent="0.25">
      <c r="AY7" t="s">
        <v>139</v>
      </c>
      <c r="AZ7" t="s">
        <v>266</v>
      </c>
      <c r="BA7" t="s">
        <v>262</v>
      </c>
      <c r="BB7" t="s">
        <v>986</v>
      </c>
      <c r="BC7" t="s">
        <v>987</v>
      </c>
      <c r="BD7" t="s">
        <v>988</v>
      </c>
      <c r="BF7" t="s">
        <v>997</v>
      </c>
      <c r="BG7">
        <v>23.186738999999999</v>
      </c>
      <c r="BH7">
        <v>18.429214000000002</v>
      </c>
      <c r="BI7">
        <v>14.29</v>
      </c>
      <c r="BJ7">
        <v>3.6772008</v>
      </c>
      <c r="BK7">
        <v>2.6936170000000002</v>
      </c>
      <c r="BL7">
        <v>2.2599999999999999E-2</v>
      </c>
      <c r="BM7">
        <v>0.29593000000000003</v>
      </c>
      <c r="BN7">
        <v>0.15021999999999999</v>
      </c>
      <c r="BO7">
        <v>0.121500002</v>
      </c>
      <c r="BP7">
        <v>6.4350000000000004E-2</v>
      </c>
      <c r="BR7">
        <v>53.710999999999999</v>
      </c>
      <c r="BU7">
        <v>1.4175</v>
      </c>
      <c r="BV7">
        <v>0.75700000000000001</v>
      </c>
      <c r="BW7">
        <v>110154907648</v>
      </c>
      <c r="BX7">
        <v>113884573696</v>
      </c>
    </row>
    <row r="8" spans="1:76" ht="29.45" customHeight="1" thickBot="1" x14ac:dyDescent="0.3">
      <c r="A8" t="s">
        <v>975</v>
      </c>
      <c r="I8" s="16"/>
      <c r="J8" s="16"/>
      <c r="K8" s="171" t="s">
        <v>48</v>
      </c>
      <c r="L8" s="171"/>
      <c r="M8" s="171"/>
      <c r="N8" s="18" t="s">
        <v>47</v>
      </c>
      <c r="O8" s="18" t="s">
        <v>49</v>
      </c>
      <c r="P8" s="18" t="s">
        <v>977</v>
      </c>
      <c r="Q8" s="18" t="s">
        <v>978</v>
      </c>
      <c r="AY8" t="s">
        <v>181</v>
      </c>
      <c r="AZ8" t="s">
        <v>267</v>
      </c>
      <c r="BA8" t="s">
        <v>262</v>
      </c>
      <c r="BB8" t="s">
        <v>989</v>
      </c>
      <c r="BC8" t="s">
        <v>993</v>
      </c>
      <c r="BD8" t="s">
        <v>994</v>
      </c>
      <c r="BF8" t="s">
        <v>1028</v>
      </c>
      <c r="BG8">
        <v>23.571428000000001</v>
      </c>
      <c r="BH8">
        <v>17.881772999999999</v>
      </c>
      <c r="BI8">
        <v>14.488</v>
      </c>
      <c r="BJ8">
        <v>2.0204711999999998</v>
      </c>
      <c r="BK8">
        <v>3.4674510000000001</v>
      </c>
      <c r="BL8">
        <v>2.0799999999999999E-2</v>
      </c>
      <c r="BM8">
        <v>0.15825</v>
      </c>
      <c r="BN8">
        <v>7.7944998000000001E-2</v>
      </c>
      <c r="BO8">
        <v>0.15712999999999999</v>
      </c>
      <c r="BP8">
        <v>5.0849999999999999E-2</v>
      </c>
      <c r="BR8">
        <v>81.927999999999997</v>
      </c>
      <c r="BU8">
        <v>1.155</v>
      </c>
      <c r="BV8">
        <v>0.81599999999999995</v>
      </c>
      <c r="BW8">
        <v>50628823040</v>
      </c>
      <c r="BX8">
        <v>60277700608</v>
      </c>
    </row>
    <row r="9" spans="1:76" ht="39" customHeight="1" x14ac:dyDescent="0.25">
      <c r="A9" t="s">
        <v>976</v>
      </c>
      <c r="I9" s="162" t="s">
        <v>50</v>
      </c>
      <c r="J9" s="163"/>
      <c r="K9" s="168" t="str">
        <f>'COMPANY ANALYSIS'!F3</f>
        <v>Telefónica, S.A.</v>
      </c>
      <c r="L9" s="169"/>
      <c r="M9" s="170"/>
      <c r="N9" s="20" t="str">
        <f>_xlfn.XLOOKUP(K9,AZ2:AZ426,AY2:AY426,"",0)</f>
        <v>TEF.MC</v>
      </c>
      <c r="O9" s="21" t="str">
        <f>_xlfn.XLOOKUP(K9,AZ2:AZ426,BA2:BA426,"",0)</f>
        <v>BME (IBEX 35)</v>
      </c>
      <c r="P9" s="55" t="str">
        <f>_xlfn.XLOOKUP(K9,AZ2:AZ426,BB2:BB426,"",0)</f>
        <v>Communication Services</v>
      </c>
      <c r="Q9" s="55" t="str">
        <f>_xlfn.XLOOKUP(K9,AZ2:AZ426,BC2:BC426,"",0)</f>
        <v>Telecommunication Services</v>
      </c>
      <c r="AY9" t="s">
        <v>90</v>
      </c>
      <c r="AZ9" t="s">
        <v>268</v>
      </c>
      <c r="BA9" t="s">
        <v>262</v>
      </c>
      <c r="BB9" t="s">
        <v>995</v>
      </c>
      <c r="BC9" t="s">
        <v>996</v>
      </c>
      <c r="BD9" t="s">
        <v>996</v>
      </c>
      <c r="BF9" t="s">
        <v>981</v>
      </c>
      <c r="BG9">
        <v>32.701912999999998</v>
      </c>
      <c r="BH9">
        <v>27.637023500000002</v>
      </c>
      <c r="BI9">
        <v>19.166</v>
      </c>
      <c r="BJ9">
        <v>6.2575156500000002</v>
      </c>
      <c r="BK9">
        <v>6.5504499999999997</v>
      </c>
      <c r="BL9">
        <v>1.095E-2</v>
      </c>
      <c r="BM9">
        <v>0.29657</v>
      </c>
      <c r="BN9">
        <v>0.19186</v>
      </c>
      <c r="BO9">
        <v>0.22878999999999999</v>
      </c>
      <c r="BP9">
        <v>9.0245003000000004E-2</v>
      </c>
      <c r="BR9">
        <v>31.15</v>
      </c>
      <c r="BU9">
        <v>1.5229999999999999</v>
      </c>
      <c r="BV9">
        <v>1.254</v>
      </c>
      <c r="BW9">
        <v>198825762816</v>
      </c>
      <c r="BX9">
        <v>197122850816</v>
      </c>
    </row>
    <row r="10" spans="1:76" ht="50.1" customHeight="1" x14ac:dyDescent="0.25">
      <c r="I10" s="162" t="s">
        <v>51</v>
      </c>
      <c r="J10" s="163"/>
      <c r="K10" s="164"/>
      <c r="L10" s="165"/>
      <c r="M10" s="165"/>
      <c r="N10" s="165"/>
      <c r="O10" s="166"/>
      <c r="AY10" t="s">
        <v>184</v>
      </c>
      <c r="AZ10" t="s">
        <v>269</v>
      </c>
      <c r="BA10" t="s">
        <v>262</v>
      </c>
      <c r="BB10" t="s">
        <v>997</v>
      </c>
      <c r="BC10" t="s">
        <v>998</v>
      </c>
      <c r="BD10" t="s">
        <v>999</v>
      </c>
      <c r="BF10" t="s">
        <v>1044</v>
      </c>
      <c r="BG10">
        <v>18.341275</v>
      </c>
      <c r="BH10">
        <v>12.833178999999999</v>
      </c>
      <c r="BI10">
        <v>9.34</v>
      </c>
      <c r="BJ10">
        <v>1.6540960499999999</v>
      </c>
      <c r="BK10">
        <v>2.5161913999999999</v>
      </c>
      <c r="BL10">
        <v>2.1999999999999999E-2</v>
      </c>
      <c r="BM10">
        <v>0.19982</v>
      </c>
      <c r="BN10">
        <v>0.10451000000000001</v>
      </c>
      <c r="BO10">
        <v>0.13195999</v>
      </c>
      <c r="BP10">
        <v>6.0135000000000001E-2</v>
      </c>
      <c r="BR10">
        <v>49.567</v>
      </c>
      <c r="BU10">
        <v>1.46</v>
      </c>
      <c r="BV10">
        <v>0.94</v>
      </c>
      <c r="BW10">
        <v>41919178752</v>
      </c>
      <c r="BX10">
        <v>62916988928</v>
      </c>
    </row>
    <row r="11" spans="1:76" x14ac:dyDescent="0.25">
      <c r="AY11" t="s">
        <v>124</v>
      </c>
      <c r="AZ11" t="s">
        <v>125</v>
      </c>
      <c r="BA11" t="s">
        <v>262</v>
      </c>
      <c r="BB11" t="s">
        <v>997</v>
      </c>
      <c r="BC11" t="s">
        <v>1000</v>
      </c>
      <c r="BD11" t="s">
        <v>1001</v>
      </c>
      <c r="BF11" t="s">
        <v>1051</v>
      </c>
      <c r="BG11">
        <v>16.707865000000002</v>
      </c>
      <c r="BH11">
        <v>14.810345999999999</v>
      </c>
      <c r="BI11">
        <v>26.09</v>
      </c>
      <c r="BJ11">
        <v>5.1731449999999999</v>
      </c>
      <c r="BK11">
        <v>0.82807407</v>
      </c>
      <c r="BL11">
        <v>3.6549999999999999E-2</v>
      </c>
      <c r="BM11">
        <v>0.54801999999999995</v>
      </c>
      <c r="BN11">
        <v>0.37262002</v>
      </c>
      <c r="BO11">
        <v>6.5905001000000005E-2</v>
      </c>
      <c r="BP11">
        <v>1.864E-2</v>
      </c>
      <c r="BR11">
        <v>72.634</v>
      </c>
      <c r="BU11">
        <v>0.93</v>
      </c>
      <c r="BV11">
        <v>0.86799999999999999</v>
      </c>
      <c r="BW11">
        <v>9877951744</v>
      </c>
      <c r="BX11">
        <v>30852155392</v>
      </c>
    </row>
    <row r="12" spans="1:76" x14ac:dyDescent="0.25">
      <c r="AY12" t="s">
        <v>126</v>
      </c>
      <c r="AZ12" t="s">
        <v>270</v>
      </c>
      <c r="BA12" t="s">
        <v>262</v>
      </c>
      <c r="BB12" t="s">
        <v>995</v>
      </c>
      <c r="BC12" t="s">
        <v>1002</v>
      </c>
      <c r="BD12" t="s">
        <v>1002</v>
      </c>
      <c r="BF12" t="s">
        <v>1021</v>
      </c>
      <c r="BG12">
        <v>14.716347000000001</v>
      </c>
      <c r="BH12">
        <v>14.178898999999999</v>
      </c>
      <c r="BI12">
        <v>9.1675000000000004</v>
      </c>
      <c r="BJ12">
        <v>1.3841136000000001</v>
      </c>
      <c r="BK12">
        <v>2.0864042999999999</v>
      </c>
      <c r="BL12">
        <v>3.6799999999999999E-2</v>
      </c>
      <c r="BM12">
        <v>0.24010999499999999</v>
      </c>
      <c r="BN12">
        <v>0.100159995</v>
      </c>
      <c r="BO12">
        <v>0.112405</v>
      </c>
      <c r="BP12">
        <v>3.3210000000000003E-2</v>
      </c>
      <c r="BR12">
        <v>123.36499999999999</v>
      </c>
      <c r="BU12">
        <v>0.96599999999999997</v>
      </c>
      <c r="BV12">
        <v>0.73599999999999999</v>
      </c>
      <c r="BW12">
        <v>25822553088</v>
      </c>
      <c r="BX12">
        <v>43788158976</v>
      </c>
    </row>
    <row r="13" spans="1:76" x14ac:dyDescent="0.25">
      <c r="J13" s="48"/>
      <c r="AY13" t="s">
        <v>186</v>
      </c>
      <c r="AZ13" t="s">
        <v>271</v>
      </c>
      <c r="BA13" t="s">
        <v>262</v>
      </c>
      <c r="BB13" t="s">
        <v>995</v>
      </c>
      <c r="BC13" t="s">
        <v>996</v>
      </c>
      <c r="BD13" t="s">
        <v>996</v>
      </c>
    </row>
    <row r="14" spans="1:76" x14ac:dyDescent="0.25">
      <c r="J14" s="48"/>
      <c r="AY14" t="s">
        <v>160</v>
      </c>
      <c r="AZ14" t="s">
        <v>272</v>
      </c>
      <c r="BA14" t="s">
        <v>262</v>
      </c>
      <c r="BB14" t="s">
        <v>1003</v>
      </c>
      <c r="BC14" t="s">
        <v>1004</v>
      </c>
      <c r="BD14" t="s">
        <v>1005</v>
      </c>
      <c r="BG14" s="1" t="s">
        <v>1226</v>
      </c>
      <c r="BH14" s="1"/>
    </row>
    <row r="15" spans="1:76" x14ac:dyDescent="0.25">
      <c r="I15" s="1" t="s">
        <v>1233</v>
      </c>
      <c r="J15" s="48"/>
      <c r="AY15" t="s">
        <v>193</v>
      </c>
      <c r="AZ15" t="s">
        <v>273</v>
      </c>
      <c r="BA15" t="s">
        <v>262</v>
      </c>
      <c r="BB15" t="s">
        <v>1006</v>
      </c>
      <c r="BC15" t="s">
        <v>1006</v>
      </c>
      <c r="BD15" t="s">
        <v>1007</v>
      </c>
    </row>
    <row r="16" spans="1:76" x14ac:dyDescent="0.25">
      <c r="J16" s="48"/>
      <c r="AY16" t="s">
        <v>112</v>
      </c>
      <c r="AZ16" t="s">
        <v>274</v>
      </c>
      <c r="BA16" t="s">
        <v>262</v>
      </c>
      <c r="BB16" t="s">
        <v>989</v>
      </c>
      <c r="BC16" t="s">
        <v>990</v>
      </c>
      <c r="BD16" t="s">
        <v>1008</v>
      </c>
    </row>
    <row r="17" spans="2:56" x14ac:dyDescent="0.25">
      <c r="I17" s="22" t="s">
        <v>252</v>
      </c>
      <c r="J17" s="22" t="s">
        <v>52</v>
      </c>
      <c r="K17" s="22" t="s">
        <v>53</v>
      </c>
      <c r="AY17" t="s">
        <v>101</v>
      </c>
      <c r="AZ17" t="s">
        <v>275</v>
      </c>
      <c r="BA17" t="s">
        <v>262</v>
      </c>
      <c r="BB17" t="s">
        <v>1006</v>
      </c>
      <c r="BC17" t="s">
        <v>1006</v>
      </c>
      <c r="BD17" t="s">
        <v>1007</v>
      </c>
    </row>
    <row r="18" spans="2:56" x14ac:dyDescent="0.25">
      <c r="I18" s="53" t="s">
        <v>945</v>
      </c>
      <c r="J18" s="49"/>
      <c r="K18" s="49"/>
      <c r="AY18" t="s">
        <v>134</v>
      </c>
      <c r="AZ18" t="s">
        <v>276</v>
      </c>
      <c r="BA18" t="s">
        <v>262</v>
      </c>
      <c r="BB18" t="s">
        <v>995</v>
      </c>
      <c r="BC18" t="s">
        <v>996</v>
      </c>
      <c r="BD18" t="s">
        <v>996</v>
      </c>
    </row>
    <row r="19" spans="2:56" x14ac:dyDescent="0.25">
      <c r="I19" s="22" t="s">
        <v>56</v>
      </c>
      <c r="J19" s="50">
        <v>-0.19</v>
      </c>
      <c r="K19" s="49" t="s">
        <v>57</v>
      </c>
      <c r="AY19" t="s">
        <v>143</v>
      </c>
      <c r="AZ19" t="s">
        <v>277</v>
      </c>
      <c r="BA19" t="s">
        <v>262</v>
      </c>
      <c r="BB19" t="s">
        <v>997</v>
      </c>
      <c r="BC19" t="s">
        <v>1000</v>
      </c>
      <c r="BD19" t="s">
        <v>1001</v>
      </c>
    </row>
    <row r="20" spans="2:56" x14ac:dyDescent="0.25">
      <c r="B20" t="s">
        <v>54</v>
      </c>
      <c r="I20" s="22" t="s">
        <v>934</v>
      </c>
      <c r="J20" s="50" t="s">
        <v>1234</v>
      </c>
      <c r="K20" s="49" t="s">
        <v>950</v>
      </c>
      <c r="AY20" t="s">
        <v>58</v>
      </c>
      <c r="AZ20" t="s">
        <v>278</v>
      </c>
      <c r="BA20" t="s">
        <v>262</v>
      </c>
      <c r="BB20" t="s">
        <v>997</v>
      </c>
      <c r="BC20" t="s">
        <v>1000</v>
      </c>
      <c r="BD20" t="s">
        <v>1009</v>
      </c>
    </row>
    <row r="21" spans="2:56" x14ac:dyDescent="0.25">
      <c r="I21" s="22" t="s">
        <v>922</v>
      </c>
      <c r="J21" s="50">
        <v>10.564171</v>
      </c>
      <c r="K21" s="49" t="s">
        <v>951</v>
      </c>
      <c r="AY21" t="s">
        <v>159</v>
      </c>
      <c r="AZ21" t="s">
        <v>279</v>
      </c>
      <c r="BA21" t="s">
        <v>262</v>
      </c>
      <c r="BB21" t="s">
        <v>1003</v>
      </c>
      <c r="BC21" t="s">
        <v>1010</v>
      </c>
      <c r="BD21" t="s">
        <v>1011</v>
      </c>
    </row>
    <row r="22" spans="2:56" x14ac:dyDescent="0.25">
      <c r="I22" s="22" t="s">
        <v>59</v>
      </c>
      <c r="J22" s="51">
        <v>9473000448</v>
      </c>
      <c r="K22" s="49" t="s">
        <v>952</v>
      </c>
      <c r="AY22" t="s">
        <v>128</v>
      </c>
      <c r="AZ22" t="s">
        <v>280</v>
      </c>
      <c r="BA22" t="s">
        <v>262</v>
      </c>
      <c r="BB22" t="s">
        <v>1003</v>
      </c>
      <c r="BC22" t="s">
        <v>1010</v>
      </c>
      <c r="BD22" t="s">
        <v>1011</v>
      </c>
    </row>
    <row r="23" spans="2:56" x14ac:dyDescent="0.25">
      <c r="I23" s="22" t="s">
        <v>923</v>
      </c>
      <c r="J23" s="52">
        <v>0.22760999000000001</v>
      </c>
      <c r="K23" s="49" t="s">
        <v>953</v>
      </c>
      <c r="AY23" t="s">
        <v>75</v>
      </c>
      <c r="AZ23" t="s">
        <v>281</v>
      </c>
      <c r="BA23" t="s">
        <v>262</v>
      </c>
      <c r="BB23" t="s">
        <v>981</v>
      </c>
      <c r="BC23" t="s">
        <v>992</v>
      </c>
      <c r="BD23" t="s">
        <v>992</v>
      </c>
    </row>
    <row r="24" spans="2:56" x14ac:dyDescent="0.25">
      <c r="I24" s="22" t="s">
        <v>924</v>
      </c>
      <c r="J24" s="52">
        <v>-5.0049999999999997E-2</v>
      </c>
      <c r="K24" s="49" t="s">
        <v>954</v>
      </c>
      <c r="AY24" t="s">
        <v>97</v>
      </c>
      <c r="AZ24" t="s">
        <v>282</v>
      </c>
      <c r="BA24" t="s">
        <v>262</v>
      </c>
      <c r="BB24" t="s">
        <v>1003</v>
      </c>
      <c r="BC24" t="s">
        <v>1012</v>
      </c>
      <c r="BD24" t="s">
        <v>1012</v>
      </c>
    </row>
    <row r="25" spans="2:56" x14ac:dyDescent="0.25">
      <c r="I25" s="22" t="s">
        <v>84</v>
      </c>
      <c r="J25" s="52">
        <v>-2.3089999999999999E-2</v>
      </c>
      <c r="K25" s="49" t="s">
        <v>955</v>
      </c>
      <c r="AY25" t="s">
        <v>130</v>
      </c>
      <c r="AZ25" t="s">
        <v>283</v>
      </c>
      <c r="BA25" t="s">
        <v>262</v>
      </c>
      <c r="BB25" t="s">
        <v>997</v>
      </c>
      <c r="BC25" t="s">
        <v>1000</v>
      </c>
      <c r="BD25" t="s">
        <v>1001</v>
      </c>
    </row>
    <row r="26" spans="2:56" x14ac:dyDescent="0.25">
      <c r="H26" s="19"/>
      <c r="I26" s="22" t="s">
        <v>254</v>
      </c>
      <c r="J26" s="52">
        <v>2.9250000000000002E-2</v>
      </c>
      <c r="K26" s="49" t="s">
        <v>956</v>
      </c>
      <c r="AY26" t="s">
        <v>67</v>
      </c>
      <c r="AZ26" t="s">
        <v>284</v>
      </c>
      <c r="BA26" t="s">
        <v>262</v>
      </c>
      <c r="BB26" t="s">
        <v>981</v>
      </c>
      <c r="BC26" t="s">
        <v>984</v>
      </c>
      <c r="BD26" t="s">
        <v>985</v>
      </c>
    </row>
    <row r="27" spans="2:56" x14ac:dyDescent="0.25">
      <c r="H27" s="19"/>
      <c r="I27" s="22"/>
      <c r="J27" s="49"/>
      <c r="K27" s="49"/>
      <c r="AY27" t="s">
        <v>192</v>
      </c>
      <c r="AZ27" t="s">
        <v>285</v>
      </c>
      <c r="BA27" t="s">
        <v>262</v>
      </c>
      <c r="BB27" t="s">
        <v>1003</v>
      </c>
      <c r="BC27" t="s">
        <v>1012</v>
      </c>
      <c r="BD27" t="s">
        <v>1012</v>
      </c>
    </row>
    <row r="28" spans="2:56" x14ac:dyDescent="0.25">
      <c r="H28" s="19"/>
      <c r="I28" s="53" t="s">
        <v>946</v>
      </c>
      <c r="J28" s="49"/>
      <c r="K28" s="49"/>
      <c r="AY28" t="s">
        <v>178</v>
      </c>
      <c r="AZ28" t="s">
        <v>286</v>
      </c>
      <c r="BA28" t="s">
        <v>262</v>
      </c>
      <c r="BB28" t="s">
        <v>997</v>
      </c>
      <c r="BC28" t="s">
        <v>1000</v>
      </c>
      <c r="BD28" t="s">
        <v>1013</v>
      </c>
    </row>
    <row r="29" spans="2:56" x14ac:dyDescent="0.25">
      <c r="H29" s="19"/>
      <c r="I29" s="22" t="s">
        <v>925</v>
      </c>
      <c r="J29" s="51">
        <v>3324250112</v>
      </c>
      <c r="K29" s="49" t="s">
        <v>957</v>
      </c>
      <c r="AY29" t="s">
        <v>136</v>
      </c>
      <c r="AZ29" t="s">
        <v>287</v>
      </c>
      <c r="BA29" t="s">
        <v>262</v>
      </c>
      <c r="BB29" t="s">
        <v>989</v>
      </c>
      <c r="BC29" t="s">
        <v>1014</v>
      </c>
      <c r="BD29" t="s">
        <v>1015</v>
      </c>
    </row>
    <row r="30" spans="2:56" x14ac:dyDescent="0.25">
      <c r="H30" s="19"/>
      <c r="I30" s="22" t="s">
        <v>935</v>
      </c>
      <c r="J30" s="51">
        <v>10225000448</v>
      </c>
      <c r="K30" s="49" t="s">
        <v>958</v>
      </c>
      <c r="AY30" t="s">
        <v>66</v>
      </c>
      <c r="AZ30" t="s">
        <v>288</v>
      </c>
      <c r="BA30" t="s">
        <v>262</v>
      </c>
      <c r="BB30" t="s">
        <v>981</v>
      </c>
      <c r="BC30" t="s">
        <v>984</v>
      </c>
      <c r="BD30" t="s">
        <v>1016</v>
      </c>
    </row>
    <row r="31" spans="2:56" x14ac:dyDescent="0.25">
      <c r="H31" s="19"/>
      <c r="I31" s="22" t="s">
        <v>926</v>
      </c>
      <c r="J31" s="51">
        <v>5790000000</v>
      </c>
      <c r="K31" s="49" t="s">
        <v>959</v>
      </c>
      <c r="AY31" t="s">
        <v>99</v>
      </c>
      <c r="AZ31" t="s">
        <v>289</v>
      </c>
      <c r="BA31" t="s">
        <v>262</v>
      </c>
      <c r="BB31" t="s">
        <v>981</v>
      </c>
      <c r="BC31" t="s">
        <v>982</v>
      </c>
      <c r="BD31" t="s">
        <v>1017</v>
      </c>
    </row>
    <row r="32" spans="2:56" x14ac:dyDescent="0.25">
      <c r="H32" s="19"/>
      <c r="I32" s="22" t="s">
        <v>927</v>
      </c>
      <c r="J32" s="50">
        <v>0.41108634654036702</v>
      </c>
      <c r="K32" s="49" t="s">
        <v>960</v>
      </c>
      <c r="AY32" t="s">
        <v>64</v>
      </c>
      <c r="AZ32" t="s">
        <v>65</v>
      </c>
      <c r="BA32" t="s">
        <v>262</v>
      </c>
      <c r="BB32" t="s">
        <v>997</v>
      </c>
      <c r="BC32" t="s">
        <v>998</v>
      </c>
      <c r="BD32" t="s">
        <v>1018</v>
      </c>
    </row>
    <row r="33" spans="8:56" x14ac:dyDescent="0.25">
      <c r="H33" s="19"/>
      <c r="I33" s="22"/>
      <c r="J33" s="49"/>
      <c r="K33" s="49"/>
      <c r="AY33" t="s">
        <v>98</v>
      </c>
      <c r="AZ33" t="s">
        <v>290</v>
      </c>
      <c r="BA33" t="s">
        <v>262</v>
      </c>
      <c r="BB33" t="s">
        <v>981</v>
      </c>
      <c r="BC33" t="s">
        <v>984</v>
      </c>
      <c r="BD33" t="s">
        <v>985</v>
      </c>
    </row>
    <row r="34" spans="8:56" x14ac:dyDescent="0.25">
      <c r="H34" s="19"/>
      <c r="I34" s="53" t="s">
        <v>947</v>
      </c>
      <c r="J34" s="49"/>
      <c r="K34" s="49"/>
      <c r="AY34" t="s">
        <v>149</v>
      </c>
      <c r="AZ34" t="s">
        <v>291</v>
      </c>
      <c r="BA34" t="s">
        <v>262</v>
      </c>
      <c r="BB34" t="s">
        <v>989</v>
      </c>
      <c r="BC34" t="s">
        <v>1019</v>
      </c>
      <c r="BD34" t="s">
        <v>1020</v>
      </c>
    </row>
    <row r="35" spans="8:56" x14ac:dyDescent="0.25">
      <c r="H35" s="19"/>
      <c r="I35" s="22" t="s">
        <v>928</v>
      </c>
      <c r="J35" s="51">
        <v>42903998464</v>
      </c>
      <c r="K35" s="49" t="s">
        <v>961</v>
      </c>
      <c r="AY35" t="s">
        <v>103</v>
      </c>
      <c r="AZ35" t="s">
        <v>292</v>
      </c>
      <c r="BA35" t="s">
        <v>262</v>
      </c>
      <c r="BB35" t="s">
        <v>997</v>
      </c>
      <c r="BC35" t="s">
        <v>1000</v>
      </c>
      <c r="BD35" t="s">
        <v>1013</v>
      </c>
    </row>
    <row r="36" spans="8:56" x14ac:dyDescent="0.25">
      <c r="H36" s="19"/>
      <c r="I36" s="22" t="s">
        <v>936</v>
      </c>
      <c r="J36" s="50">
        <v>201.02099999999999</v>
      </c>
      <c r="K36" s="49" t="s">
        <v>962</v>
      </c>
      <c r="AY36" t="s">
        <v>183</v>
      </c>
      <c r="AZ36" t="s">
        <v>293</v>
      </c>
      <c r="BA36" t="s">
        <v>262</v>
      </c>
      <c r="BB36" t="s">
        <v>981</v>
      </c>
      <c r="BC36" t="s">
        <v>992</v>
      </c>
      <c r="BD36" t="s">
        <v>992</v>
      </c>
    </row>
    <row r="37" spans="8:56" x14ac:dyDescent="0.25">
      <c r="H37" s="19"/>
      <c r="I37" s="22" t="s">
        <v>937</v>
      </c>
      <c r="J37" s="50">
        <v>4.0654488169195497</v>
      </c>
      <c r="K37" s="49" t="s">
        <v>963</v>
      </c>
      <c r="AY37" t="s">
        <v>147</v>
      </c>
      <c r="AZ37" t="s">
        <v>294</v>
      </c>
      <c r="BA37" t="s">
        <v>262</v>
      </c>
      <c r="BB37" t="s">
        <v>1021</v>
      </c>
      <c r="BC37" t="s">
        <v>1021</v>
      </c>
      <c r="BD37" t="s">
        <v>1022</v>
      </c>
    </row>
    <row r="38" spans="8:56" x14ac:dyDescent="0.25">
      <c r="I38" s="22" t="s">
        <v>929</v>
      </c>
      <c r="J38" s="50">
        <v>1.18579052701801</v>
      </c>
      <c r="K38" s="49" t="s">
        <v>964</v>
      </c>
      <c r="AY38" t="s">
        <v>104</v>
      </c>
      <c r="AZ38" t="s">
        <v>295</v>
      </c>
      <c r="BA38" t="s">
        <v>262</v>
      </c>
      <c r="BB38" t="s">
        <v>986</v>
      </c>
      <c r="BC38" t="s">
        <v>987</v>
      </c>
      <c r="BD38" t="s">
        <v>1023</v>
      </c>
    </row>
    <row r="39" spans="8:56" x14ac:dyDescent="0.25">
      <c r="I39" s="22"/>
      <c r="J39" s="49"/>
      <c r="K39" s="49"/>
      <c r="AY39" t="s">
        <v>190</v>
      </c>
      <c r="AZ39" t="s">
        <v>296</v>
      </c>
      <c r="BA39" t="s">
        <v>262</v>
      </c>
      <c r="BB39" t="s">
        <v>986</v>
      </c>
      <c r="BC39" t="s">
        <v>1024</v>
      </c>
      <c r="BD39" t="s">
        <v>1025</v>
      </c>
    </row>
    <row r="40" spans="8:56" x14ac:dyDescent="0.25">
      <c r="I40" s="53" t="s">
        <v>948</v>
      </c>
      <c r="J40" s="49"/>
      <c r="K40" s="49"/>
      <c r="AY40" t="s">
        <v>95</v>
      </c>
      <c r="AZ40" t="s">
        <v>297</v>
      </c>
      <c r="BA40" t="s">
        <v>262</v>
      </c>
      <c r="BB40" t="s">
        <v>986</v>
      </c>
      <c r="BC40" t="s">
        <v>987</v>
      </c>
      <c r="BD40" t="s">
        <v>1026</v>
      </c>
    </row>
    <row r="41" spans="8:56" x14ac:dyDescent="0.25">
      <c r="I41" s="22" t="s">
        <v>930</v>
      </c>
      <c r="J41" s="50">
        <v>0.84299999999999997</v>
      </c>
      <c r="K41" s="49" t="s">
        <v>965</v>
      </c>
      <c r="AY41" t="s">
        <v>162</v>
      </c>
      <c r="AZ41" t="s">
        <v>298</v>
      </c>
      <c r="BA41" t="s">
        <v>262</v>
      </c>
      <c r="BB41" t="s">
        <v>1003</v>
      </c>
      <c r="BC41" t="s">
        <v>1010</v>
      </c>
      <c r="BD41" t="s">
        <v>1027</v>
      </c>
    </row>
    <row r="42" spans="8:56" x14ac:dyDescent="0.25">
      <c r="I42" s="22" t="s">
        <v>931</v>
      </c>
      <c r="J42" s="50">
        <v>0.66900000000000004</v>
      </c>
      <c r="K42" s="49" t="s">
        <v>966</v>
      </c>
      <c r="AY42" t="s">
        <v>119</v>
      </c>
      <c r="AZ42" t="s">
        <v>299</v>
      </c>
      <c r="BA42" t="s">
        <v>262</v>
      </c>
      <c r="BB42" t="s">
        <v>981</v>
      </c>
      <c r="BC42" t="s">
        <v>992</v>
      </c>
      <c r="BD42" t="s">
        <v>992</v>
      </c>
    </row>
    <row r="43" spans="8:56" x14ac:dyDescent="0.25">
      <c r="I43" s="22"/>
      <c r="J43" s="49"/>
      <c r="K43" s="49"/>
      <c r="AY43" t="s">
        <v>185</v>
      </c>
      <c r="AZ43" t="s">
        <v>300</v>
      </c>
      <c r="BA43" t="s">
        <v>262</v>
      </c>
      <c r="BB43" t="s">
        <v>1028</v>
      </c>
      <c r="BC43" t="s">
        <v>1029</v>
      </c>
      <c r="BD43" t="s">
        <v>1030</v>
      </c>
    </row>
    <row r="44" spans="8:56" x14ac:dyDescent="0.25">
      <c r="I44" s="53" t="s">
        <v>949</v>
      </c>
      <c r="J44" s="49"/>
      <c r="K44" s="49"/>
      <c r="AY44" t="s">
        <v>168</v>
      </c>
      <c r="AZ44" t="s">
        <v>301</v>
      </c>
      <c r="BA44" t="s">
        <v>262</v>
      </c>
      <c r="BB44" t="s">
        <v>1028</v>
      </c>
      <c r="BC44" t="s">
        <v>1031</v>
      </c>
      <c r="BD44" t="s">
        <v>1032</v>
      </c>
    </row>
    <row r="45" spans="8:56" x14ac:dyDescent="0.25">
      <c r="I45" s="22" t="s">
        <v>253</v>
      </c>
      <c r="J45" s="51">
        <v>19644282880</v>
      </c>
      <c r="K45" s="49" t="s">
        <v>967</v>
      </c>
      <c r="AY45" t="s">
        <v>120</v>
      </c>
      <c r="AZ45" t="s">
        <v>302</v>
      </c>
      <c r="BA45" t="s">
        <v>262</v>
      </c>
      <c r="BB45" t="s">
        <v>981</v>
      </c>
      <c r="BC45" t="s">
        <v>984</v>
      </c>
      <c r="BD45" t="s">
        <v>985</v>
      </c>
    </row>
    <row r="46" spans="8:56" x14ac:dyDescent="0.25">
      <c r="I46" s="22" t="s">
        <v>932</v>
      </c>
      <c r="J46" s="51">
        <v>61863395328</v>
      </c>
      <c r="K46" s="49" t="s">
        <v>968</v>
      </c>
      <c r="AY46" t="s">
        <v>154</v>
      </c>
      <c r="AZ46" t="s">
        <v>303</v>
      </c>
      <c r="BA46" t="s">
        <v>262</v>
      </c>
      <c r="BB46" t="s">
        <v>981</v>
      </c>
      <c r="BC46" t="s">
        <v>984</v>
      </c>
      <c r="BD46" t="s">
        <v>985</v>
      </c>
    </row>
    <row r="47" spans="8:56" x14ac:dyDescent="0.25">
      <c r="I47" s="22" t="s">
        <v>62</v>
      </c>
      <c r="J47" s="50">
        <v>6.53</v>
      </c>
      <c r="K47" s="49" t="s">
        <v>969</v>
      </c>
      <c r="AY47" t="s">
        <v>165</v>
      </c>
      <c r="AZ47" t="s">
        <v>304</v>
      </c>
      <c r="BA47" t="s">
        <v>262</v>
      </c>
      <c r="BB47" t="s">
        <v>981</v>
      </c>
      <c r="BC47" t="s">
        <v>992</v>
      </c>
      <c r="BD47" t="s">
        <v>992</v>
      </c>
    </row>
    <row r="48" spans="8:56" x14ac:dyDescent="0.25">
      <c r="I48" s="22" t="s">
        <v>938</v>
      </c>
      <c r="J48" s="50">
        <v>1.11392</v>
      </c>
      <c r="K48" s="49" t="s">
        <v>970</v>
      </c>
      <c r="AY48" t="s">
        <v>113</v>
      </c>
      <c r="AZ48" t="s">
        <v>305</v>
      </c>
      <c r="BA48" t="s">
        <v>262</v>
      </c>
      <c r="BB48" t="s">
        <v>1028</v>
      </c>
      <c r="BC48" t="s">
        <v>1031</v>
      </c>
      <c r="BD48" t="s">
        <v>1033</v>
      </c>
    </row>
    <row r="49" spans="9:56" x14ac:dyDescent="0.25">
      <c r="I49" s="22" t="s">
        <v>939</v>
      </c>
      <c r="J49" s="50">
        <v>0.47199141999999999</v>
      </c>
      <c r="K49" s="49" t="s">
        <v>971</v>
      </c>
      <c r="AY49" t="s">
        <v>78</v>
      </c>
      <c r="AZ49" t="s">
        <v>306</v>
      </c>
      <c r="BA49" t="s">
        <v>262</v>
      </c>
      <c r="BB49" t="s">
        <v>1028</v>
      </c>
      <c r="BC49" t="s">
        <v>1031</v>
      </c>
      <c r="BD49" t="s">
        <v>1032</v>
      </c>
    </row>
    <row r="50" spans="9:56" x14ac:dyDescent="0.25">
      <c r="I50" s="22" t="s">
        <v>933</v>
      </c>
      <c r="J50" s="52">
        <v>8.6199999999999999E-2</v>
      </c>
      <c r="K50" s="49" t="s">
        <v>972</v>
      </c>
      <c r="AY50" t="s">
        <v>72</v>
      </c>
      <c r="AZ50" t="s">
        <v>307</v>
      </c>
      <c r="BA50" t="s">
        <v>262</v>
      </c>
      <c r="BB50" t="s">
        <v>997</v>
      </c>
      <c r="BC50" t="s">
        <v>1000</v>
      </c>
      <c r="BD50" t="s">
        <v>1009</v>
      </c>
    </row>
    <row r="51" spans="9:56" x14ac:dyDescent="0.25">
      <c r="J51" s="48"/>
      <c r="AY51" t="s">
        <v>131</v>
      </c>
      <c r="AZ51" t="s">
        <v>308</v>
      </c>
      <c r="BA51" t="s">
        <v>262</v>
      </c>
      <c r="BB51" t="s">
        <v>989</v>
      </c>
      <c r="BC51" t="s">
        <v>990</v>
      </c>
      <c r="BD51" t="s">
        <v>1008</v>
      </c>
    </row>
    <row r="52" spans="9:56" x14ac:dyDescent="0.25">
      <c r="J52" s="48"/>
      <c r="AY52" t="s">
        <v>109</v>
      </c>
      <c r="AZ52" t="s">
        <v>263</v>
      </c>
      <c r="BA52" t="s">
        <v>309</v>
      </c>
      <c r="BB52" t="s">
        <v>986</v>
      </c>
      <c r="BC52" t="s">
        <v>987</v>
      </c>
      <c r="BD52" t="s">
        <v>988</v>
      </c>
    </row>
    <row r="53" spans="9:56" x14ac:dyDescent="0.25">
      <c r="J53" s="48"/>
      <c r="AY53" t="s">
        <v>310</v>
      </c>
      <c r="AZ53" t="s">
        <v>311</v>
      </c>
      <c r="BA53" t="s">
        <v>309</v>
      </c>
      <c r="BB53" t="s">
        <v>986</v>
      </c>
      <c r="BC53" t="s">
        <v>987</v>
      </c>
      <c r="BD53" t="s">
        <v>1023</v>
      </c>
    </row>
    <row r="54" spans="9:56" x14ac:dyDescent="0.25">
      <c r="J54" s="48"/>
      <c r="AY54" t="s">
        <v>71</v>
      </c>
      <c r="AZ54" t="s">
        <v>312</v>
      </c>
      <c r="BA54" t="s">
        <v>309</v>
      </c>
      <c r="BB54" t="s">
        <v>981</v>
      </c>
      <c r="BC54" t="s">
        <v>992</v>
      </c>
      <c r="BD54" t="s">
        <v>992</v>
      </c>
    </row>
    <row r="55" spans="9:56" x14ac:dyDescent="0.25">
      <c r="J55" s="48"/>
      <c r="AY55" t="s">
        <v>179</v>
      </c>
      <c r="AZ55" t="s">
        <v>313</v>
      </c>
      <c r="BA55" t="s">
        <v>309</v>
      </c>
      <c r="BB55" t="s">
        <v>986</v>
      </c>
      <c r="BC55" t="s">
        <v>1024</v>
      </c>
      <c r="BD55" t="s">
        <v>1034</v>
      </c>
    </row>
    <row r="56" spans="9:56" x14ac:dyDescent="0.25">
      <c r="J56" s="48"/>
      <c r="AY56" t="s">
        <v>70</v>
      </c>
      <c r="AZ56" t="s">
        <v>314</v>
      </c>
      <c r="BA56" t="s">
        <v>309</v>
      </c>
      <c r="BB56" t="s">
        <v>981</v>
      </c>
      <c r="BC56" t="s">
        <v>992</v>
      </c>
      <c r="BD56" t="s">
        <v>992</v>
      </c>
    </row>
    <row r="57" spans="9:56" x14ac:dyDescent="0.25">
      <c r="J57" s="48"/>
      <c r="AY57" t="s">
        <v>121</v>
      </c>
      <c r="AZ57" t="s">
        <v>315</v>
      </c>
      <c r="BA57" t="s">
        <v>309</v>
      </c>
      <c r="BB57" t="s">
        <v>997</v>
      </c>
      <c r="BC57" t="s">
        <v>998</v>
      </c>
      <c r="BD57" t="s">
        <v>1018</v>
      </c>
    </row>
    <row r="58" spans="9:56" x14ac:dyDescent="0.25">
      <c r="J58" s="48"/>
      <c r="AY58" t="s">
        <v>87</v>
      </c>
      <c r="AZ58" t="s">
        <v>316</v>
      </c>
      <c r="BA58" t="s">
        <v>309</v>
      </c>
      <c r="BB58" t="s">
        <v>989</v>
      </c>
      <c r="BC58" t="s">
        <v>1014</v>
      </c>
      <c r="BD58" t="s">
        <v>1015</v>
      </c>
    </row>
    <row r="59" spans="9:56" x14ac:dyDescent="0.25">
      <c r="J59" s="48"/>
      <c r="AY59" t="s">
        <v>69</v>
      </c>
      <c r="AZ59" t="s">
        <v>317</v>
      </c>
      <c r="BA59" t="s">
        <v>309</v>
      </c>
      <c r="BB59" t="s">
        <v>1028</v>
      </c>
      <c r="BC59" t="s">
        <v>1035</v>
      </c>
      <c r="BD59" t="s">
        <v>1036</v>
      </c>
    </row>
    <row r="60" spans="9:56" x14ac:dyDescent="0.25">
      <c r="J60" s="48"/>
      <c r="AY60" t="s">
        <v>170</v>
      </c>
      <c r="AZ60" t="s">
        <v>318</v>
      </c>
      <c r="BA60" t="s">
        <v>309</v>
      </c>
      <c r="BB60" t="s">
        <v>989</v>
      </c>
      <c r="BC60" t="s">
        <v>1014</v>
      </c>
      <c r="BD60" t="s">
        <v>1015</v>
      </c>
    </row>
    <row r="61" spans="9:56" x14ac:dyDescent="0.25">
      <c r="J61" s="48"/>
      <c r="AY61" t="s">
        <v>108</v>
      </c>
      <c r="AZ61" t="s">
        <v>319</v>
      </c>
      <c r="BA61" t="s">
        <v>309</v>
      </c>
      <c r="BB61" t="s">
        <v>997</v>
      </c>
      <c r="BC61" t="s">
        <v>1000</v>
      </c>
      <c r="BD61" t="s">
        <v>1009</v>
      </c>
    </row>
    <row r="62" spans="9:56" x14ac:dyDescent="0.25">
      <c r="J62" s="48"/>
      <c r="AY62" t="s">
        <v>189</v>
      </c>
      <c r="AZ62" t="s">
        <v>320</v>
      </c>
      <c r="BA62" t="s">
        <v>309</v>
      </c>
      <c r="BB62" t="s">
        <v>997</v>
      </c>
      <c r="BC62" t="s">
        <v>1000</v>
      </c>
      <c r="BD62" t="s">
        <v>1009</v>
      </c>
    </row>
    <row r="63" spans="9:56" x14ac:dyDescent="0.25">
      <c r="J63" s="48"/>
      <c r="AY63" t="s">
        <v>68</v>
      </c>
      <c r="AZ63" t="s">
        <v>321</v>
      </c>
      <c r="BA63" t="s">
        <v>309</v>
      </c>
      <c r="BB63" t="s">
        <v>981</v>
      </c>
      <c r="BC63" t="s">
        <v>992</v>
      </c>
      <c r="BD63" t="s">
        <v>992</v>
      </c>
    </row>
    <row r="64" spans="9:56" x14ac:dyDescent="0.25">
      <c r="J64" s="48"/>
      <c r="AY64" t="s">
        <v>167</v>
      </c>
      <c r="AZ64" t="s">
        <v>322</v>
      </c>
      <c r="BA64" t="s">
        <v>309</v>
      </c>
      <c r="BB64" t="s">
        <v>997</v>
      </c>
      <c r="BC64" t="s">
        <v>1000</v>
      </c>
      <c r="BD64" t="s">
        <v>1009</v>
      </c>
    </row>
    <row r="65" spans="10:56" x14ac:dyDescent="0.25">
      <c r="J65" s="48"/>
      <c r="AY65" t="s">
        <v>132</v>
      </c>
      <c r="AZ65" t="s">
        <v>323</v>
      </c>
      <c r="BA65" t="s">
        <v>309</v>
      </c>
      <c r="BB65" t="s">
        <v>981</v>
      </c>
      <c r="BC65" t="s">
        <v>992</v>
      </c>
      <c r="BD65" t="s">
        <v>992</v>
      </c>
    </row>
    <row r="66" spans="10:56" x14ac:dyDescent="0.25">
      <c r="J66" s="48"/>
      <c r="AY66" t="s">
        <v>156</v>
      </c>
      <c r="AZ66" t="s">
        <v>324</v>
      </c>
      <c r="BA66" t="s">
        <v>309</v>
      </c>
      <c r="BB66" t="s">
        <v>981</v>
      </c>
      <c r="BC66" t="s">
        <v>984</v>
      </c>
      <c r="BD66" t="s">
        <v>985</v>
      </c>
    </row>
    <row r="67" spans="10:56" x14ac:dyDescent="0.25">
      <c r="J67" s="48"/>
      <c r="AY67" t="s">
        <v>146</v>
      </c>
      <c r="AZ67" t="s">
        <v>325</v>
      </c>
      <c r="BA67" t="s">
        <v>309</v>
      </c>
      <c r="BB67" t="s">
        <v>981</v>
      </c>
      <c r="BC67" t="s">
        <v>992</v>
      </c>
      <c r="BD67" t="s">
        <v>992</v>
      </c>
    </row>
    <row r="68" spans="10:56" x14ac:dyDescent="0.25">
      <c r="J68" s="48"/>
      <c r="AY68" t="s">
        <v>137</v>
      </c>
      <c r="AZ68" t="s">
        <v>326</v>
      </c>
      <c r="BA68" t="s">
        <v>309</v>
      </c>
      <c r="BB68" t="s">
        <v>1003</v>
      </c>
      <c r="BC68" t="s">
        <v>1010</v>
      </c>
      <c r="BD68" t="s">
        <v>1037</v>
      </c>
    </row>
    <row r="69" spans="10:56" x14ac:dyDescent="0.25">
      <c r="J69" s="48"/>
      <c r="AY69" t="s">
        <v>164</v>
      </c>
      <c r="AZ69" t="s">
        <v>327</v>
      </c>
      <c r="BA69" t="s">
        <v>309</v>
      </c>
      <c r="BB69" t="s">
        <v>995</v>
      </c>
      <c r="BC69" t="s">
        <v>996</v>
      </c>
      <c r="BD69" t="s">
        <v>996</v>
      </c>
    </row>
    <row r="70" spans="10:56" x14ac:dyDescent="0.25">
      <c r="J70" s="48"/>
      <c r="AY70" t="s">
        <v>172</v>
      </c>
      <c r="AZ70" t="s">
        <v>328</v>
      </c>
      <c r="BA70" t="s">
        <v>309</v>
      </c>
      <c r="BB70" t="s">
        <v>981</v>
      </c>
      <c r="BC70" t="s">
        <v>984</v>
      </c>
      <c r="BD70" t="s">
        <v>985</v>
      </c>
    </row>
    <row r="71" spans="10:56" x14ac:dyDescent="0.25">
      <c r="J71" s="48"/>
      <c r="AY71" t="s">
        <v>127</v>
      </c>
      <c r="AZ71" t="s">
        <v>329</v>
      </c>
      <c r="BA71" t="s">
        <v>309</v>
      </c>
      <c r="BB71" t="s">
        <v>981</v>
      </c>
      <c r="BC71" t="s">
        <v>992</v>
      </c>
      <c r="BD71" t="s">
        <v>992</v>
      </c>
    </row>
    <row r="72" spans="10:56" x14ac:dyDescent="0.25">
      <c r="J72" s="48"/>
      <c r="AY72" t="s">
        <v>93</v>
      </c>
      <c r="AZ72" t="s">
        <v>330</v>
      </c>
      <c r="BA72" t="s">
        <v>309</v>
      </c>
      <c r="BB72" t="s">
        <v>981</v>
      </c>
      <c r="BC72" t="s">
        <v>984</v>
      </c>
      <c r="BD72" t="s">
        <v>985</v>
      </c>
    </row>
    <row r="73" spans="10:56" x14ac:dyDescent="0.25">
      <c r="J73" s="48"/>
      <c r="AY73" t="s">
        <v>138</v>
      </c>
      <c r="AZ73" t="s">
        <v>331</v>
      </c>
      <c r="BA73" t="s">
        <v>309</v>
      </c>
      <c r="BB73" t="s">
        <v>989</v>
      </c>
      <c r="BC73" t="s">
        <v>990</v>
      </c>
      <c r="BD73" t="s">
        <v>991</v>
      </c>
    </row>
    <row r="74" spans="10:56" x14ac:dyDescent="0.25">
      <c r="J74" s="48"/>
      <c r="AY74" t="s">
        <v>74</v>
      </c>
      <c r="AZ74" t="s">
        <v>332</v>
      </c>
      <c r="BA74" t="s">
        <v>309</v>
      </c>
      <c r="BB74" t="s">
        <v>981</v>
      </c>
      <c r="BC74" t="s">
        <v>992</v>
      </c>
      <c r="BD74" t="s">
        <v>992</v>
      </c>
    </row>
    <row r="75" spans="10:56" x14ac:dyDescent="0.25">
      <c r="J75" s="48"/>
      <c r="AY75" t="s">
        <v>63</v>
      </c>
      <c r="AZ75" t="s">
        <v>333</v>
      </c>
      <c r="BA75" t="s">
        <v>309</v>
      </c>
      <c r="BB75" t="s">
        <v>989</v>
      </c>
      <c r="BC75" t="s">
        <v>1014</v>
      </c>
      <c r="BD75" t="s">
        <v>1015</v>
      </c>
    </row>
    <row r="76" spans="10:56" x14ac:dyDescent="0.25">
      <c r="J76" s="48"/>
      <c r="AY76" t="s">
        <v>135</v>
      </c>
      <c r="AZ76" t="s">
        <v>334</v>
      </c>
      <c r="BA76" t="s">
        <v>309</v>
      </c>
      <c r="BB76" t="s">
        <v>989</v>
      </c>
      <c r="BC76" t="s">
        <v>1014</v>
      </c>
      <c r="BD76" t="s">
        <v>1015</v>
      </c>
    </row>
    <row r="77" spans="10:56" x14ac:dyDescent="0.25">
      <c r="J77" s="48"/>
      <c r="AY77" t="s">
        <v>100</v>
      </c>
      <c r="AZ77" t="s">
        <v>335</v>
      </c>
      <c r="BA77" t="s">
        <v>309</v>
      </c>
      <c r="BB77" t="s">
        <v>1028</v>
      </c>
      <c r="BC77" t="s">
        <v>1029</v>
      </c>
      <c r="BD77" t="s">
        <v>1038</v>
      </c>
    </row>
    <row r="78" spans="10:56" x14ac:dyDescent="0.25">
      <c r="J78" s="48"/>
      <c r="AY78" t="s">
        <v>155</v>
      </c>
      <c r="AZ78" t="s">
        <v>336</v>
      </c>
      <c r="BA78" t="s">
        <v>309</v>
      </c>
      <c r="BB78" t="s">
        <v>989</v>
      </c>
      <c r="BC78" t="s">
        <v>990</v>
      </c>
      <c r="BD78" t="s">
        <v>1008</v>
      </c>
    </row>
    <row r="79" spans="10:56" x14ac:dyDescent="0.25">
      <c r="J79" s="48"/>
      <c r="AY79" t="s">
        <v>94</v>
      </c>
      <c r="AZ79" t="s">
        <v>337</v>
      </c>
      <c r="BA79" t="s">
        <v>309</v>
      </c>
      <c r="BB79" t="s">
        <v>986</v>
      </c>
      <c r="BC79" t="s">
        <v>987</v>
      </c>
      <c r="BD79" t="s">
        <v>1026</v>
      </c>
    </row>
    <row r="80" spans="10:56" x14ac:dyDescent="0.25">
      <c r="J80" s="48"/>
      <c r="AY80" t="s">
        <v>142</v>
      </c>
      <c r="AZ80" t="s">
        <v>338</v>
      </c>
      <c r="BA80" t="s">
        <v>309</v>
      </c>
      <c r="BB80" t="s">
        <v>1003</v>
      </c>
      <c r="BC80" t="s">
        <v>1010</v>
      </c>
      <c r="BD80" t="s">
        <v>1011</v>
      </c>
    </row>
    <row r="81" spans="10:56" x14ac:dyDescent="0.25">
      <c r="J81" s="48"/>
      <c r="AY81" t="s">
        <v>107</v>
      </c>
      <c r="AZ81" t="s">
        <v>339</v>
      </c>
      <c r="BA81" t="s">
        <v>309</v>
      </c>
      <c r="BB81" t="s">
        <v>981</v>
      </c>
      <c r="BC81" t="s">
        <v>984</v>
      </c>
      <c r="BD81" t="s">
        <v>985</v>
      </c>
    </row>
    <row r="82" spans="10:56" x14ac:dyDescent="0.25">
      <c r="J82" s="48"/>
      <c r="AY82" t="s">
        <v>153</v>
      </c>
      <c r="AZ82" t="s">
        <v>340</v>
      </c>
      <c r="BA82" t="s">
        <v>309</v>
      </c>
      <c r="BB82" t="s">
        <v>981</v>
      </c>
      <c r="BC82" t="s">
        <v>992</v>
      </c>
      <c r="BD82" t="s">
        <v>992</v>
      </c>
    </row>
    <row r="83" spans="10:56" x14ac:dyDescent="0.25">
      <c r="J83" s="48"/>
      <c r="AY83" t="s">
        <v>115</v>
      </c>
      <c r="AZ83" t="s">
        <v>341</v>
      </c>
      <c r="BA83" t="s">
        <v>342</v>
      </c>
      <c r="BB83" t="s">
        <v>981</v>
      </c>
      <c r="BC83" t="s">
        <v>984</v>
      </c>
      <c r="BD83" t="s">
        <v>1016</v>
      </c>
    </row>
    <row r="84" spans="10:56" x14ac:dyDescent="0.25">
      <c r="J84" s="48"/>
      <c r="AY84" t="s">
        <v>91</v>
      </c>
      <c r="AZ84" t="s">
        <v>343</v>
      </c>
      <c r="BA84" t="s">
        <v>342</v>
      </c>
      <c r="BB84" t="s">
        <v>1028</v>
      </c>
      <c r="BC84" t="s">
        <v>1031</v>
      </c>
      <c r="BD84" t="s">
        <v>1039</v>
      </c>
    </row>
    <row r="85" spans="10:56" x14ac:dyDescent="0.25">
      <c r="J85" s="48"/>
      <c r="AY85" t="s">
        <v>111</v>
      </c>
      <c r="AZ85" t="s">
        <v>344</v>
      </c>
      <c r="BA85" t="s">
        <v>342</v>
      </c>
      <c r="BB85" t="s">
        <v>995</v>
      </c>
      <c r="BC85" t="s">
        <v>996</v>
      </c>
      <c r="BD85" t="s">
        <v>1040</v>
      </c>
    </row>
    <row r="86" spans="10:56" x14ac:dyDescent="0.25">
      <c r="J86" s="48"/>
      <c r="AY86" t="s">
        <v>180</v>
      </c>
      <c r="AZ86" t="s">
        <v>345</v>
      </c>
      <c r="BA86" t="s">
        <v>342</v>
      </c>
      <c r="BB86" t="s">
        <v>995</v>
      </c>
      <c r="BC86" t="s">
        <v>1041</v>
      </c>
      <c r="BD86" t="s">
        <v>1041</v>
      </c>
    </row>
    <row r="87" spans="10:56" x14ac:dyDescent="0.25">
      <c r="J87" s="48"/>
      <c r="AY87" t="s">
        <v>76</v>
      </c>
      <c r="AZ87" t="s">
        <v>77</v>
      </c>
      <c r="BA87" t="s">
        <v>342</v>
      </c>
      <c r="BB87" t="s">
        <v>995</v>
      </c>
      <c r="BC87" t="s">
        <v>996</v>
      </c>
      <c r="BD87" t="s">
        <v>1042</v>
      </c>
    </row>
    <row r="88" spans="10:56" x14ac:dyDescent="0.25">
      <c r="J88" s="48"/>
      <c r="AY88" t="s">
        <v>140</v>
      </c>
      <c r="AZ88" t="s">
        <v>141</v>
      </c>
      <c r="BA88" t="s">
        <v>342</v>
      </c>
      <c r="BB88" t="s">
        <v>1028</v>
      </c>
      <c r="BC88" t="s">
        <v>1031</v>
      </c>
      <c r="BD88" t="s">
        <v>1033</v>
      </c>
    </row>
    <row r="89" spans="10:56" x14ac:dyDescent="0.25">
      <c r="J89" s="48"/>
      <c r="AY89" t="s">
        <v>346</v>
      </c>
      <c r="AZ89" t="s">
        <v>347</v>
      </c>
      <c r="BA89" t="s">
        <v>348</v>
      </c>
      <c r="BB89" t="s">
        <v>1006</v>
      </c>
      <c r="BC89" t="s">
        <v>1006</v>
      </c>
      <c r="BD89" t="s">
        <v>1007</v>
      </c>
    </row>
    <row r="90" spans="10:56" x14ac:dyDescent="0.25">
      <c r="J90" s="48"/>
      <c r="AY90" t="s">
        <v>222</v>
      </c>
      <c r="AZ90" t="s">
        <v>223</v>
      </c>
      <c r="BA90" t="s">
        <v>348</v>
      </c>
      <c r="BB90" t="s">
        <v>997</v>
      </c>
      <c r="BC90" t="s">
        <v>1000</v>
      </c>
      <c r="BD90" t="s">
        <v>1001</v>
      </c>
    </row>
    <row r="91" spans="10:56" x14ac:dyDescent="0.25">
      <c r="J91" s="48"/>
      <c r="AY91" t="s">
        <v>349</v>
      </c>
      <c r="AZ91" t="s">
        <v>114</v>
      </c>
      <c r="BA91" t="s">
        <v>348</v>
      </c>
      <c r="BB91" t="s">
        <v>995</v>
      </c>
      <c r="BC91" t="s">
        <v>1002</v>
      </c>
      <c r="BD91" t="s">
        <v>1002</v>
      </c>
    </row>
    <row r="92" spans="10:56" x14ac:dyDescent="0.25">
      <c r="J92" s="48"/>
      <c r="AY92" t="s">
        <v>224</v>
      </c>
      <c r="AZ92" t="s">
        <v>225</v>
      </c>
      <c r="BA92" t="s">
        <v>348</v>
      </c>
      <c r="BB92" t="s">
        <v>1003</v>
      </c>
      <c r="BC92" t="s">
        <v>1004</v>
      </c>
      <c r="BD92" t="s">
        <v>1043</v>
      </c>
    </row>
    <row r="93" spans="10:56" x14ac:dyDescent="0.25">
      <c r="J93" s="48"/>
      <c r="AY93" t="s">
        <v>350</v>
      </c>
      <c r="AZ93" t="s">
        <v>102</v>
      </c>
      <c r="BA93" t="s">
        <v>348</v>
      </c>
      <c r="BB93" t="s">
        <v>1003</v>
      </c>
      <c r="BC93" t="s">
        <v>1010</v>
      </c>
      <c r="BD93" t="s">
        <v>1011</v>
      </c>
    </row>
    <row r="94" spans="10:56" x14ac:dyDescent="0.25">
      <c r="J94" s="48"/>
      <c r="AY94" t="s">
        <v>351</v>
      </c>
      <c r="AZ94" t="s">
        <v>352</v>
      </c>
      <c r="BA94" t="s">
        <v>348</v>
      </c>
      <c r="BB94" t="s">
        <v>1044</v>
      </c>
      <c r="BC94" t="s">
        <v>1044</v>
      </c>
      <c r="BD94" t="s">
        <v>1045</v>
      </c>
    </row>
    <row r="95" spans="10:56" x14ac:dyDescent="0.25">
      <c r="J95" s="48"/>
      <c r="AY95" t="s">
        <v>227</v>
      </c>
      <c r="AZ95" t="s">
        <v>353</v>
      </c>
      <c r="BA95" t="s">
        <v>348</v>
      </c>
      <c r="BB95" t="s">
        <v>1006</v>
      </c>
      <c r="BC95" t="s">
        <v>1006</v>
      </c>
      <c r="BD95" t="s">
        <v>1007</v>
      </c>
    </row>
    <row r="96" spans="10:56" x14ac:dyDescent="0.25">
      <c r="J96" s="48"/>
      <c r="AY96" t="s">
        <v>226</v>
      </c>
      <c r="AZ96" t="s">
        <v>354</v>
      </c>
      <c r="BA96" t="s">
        <v>348</v>
      </c>
      <c r="BB96" t="s">
        <v>1003</v>
      </c>
      <c r="BC96" t="s">
        <v>1010</v>
      </c>
      <c r="BD96" t="s">
        <v>1027</v>
      </c>
    </row>
    <row r="97" spans="10:56" x14ac:dyDescent="0.25">
      <c r="J97" s="48"/>
      <c r="AY97" t="s">
        <v>355</v>
      </c>
      <c r="AZ97" t="s">
        <v>356</v>
      </c>
      <c r="BA97" t="s">
        <v>348</v>
      </c>
      <c r="BB97" t="s">
        <v>997</v>
      </c>
      <c r="BC97" t="s">
        <v>1000</v>
      </c>
      <c r="BD97" t="s">
        <v>1001</v>
      </c>
    </row>
    <row r="98" spans="10:56" x14ac:dyDescent="0.25">
      <c r="J98" s="48"/>
      <c r="AY98" t="s">
        <v>357</v>
      </c>
      <c r="AZ98" t="s">
        <v>358</v>
      </c>
      <c r="BA98" t="s">
        <v>348</v>
      </c>
      <c r="BB98" t="s">
        <v>1003</v>
      </c>
      <c r="BC98" t="s">
        <v>1012</v>
      </c>
      <c r="BD98" t="s">
        <v>1012</v>
      </c>
    </row>
    <row r="99" spans="10:56" x14ac:dyDescent="0.25">
      <c r="J99" s="48"/>
      <c r="AY99" t="s">
        <v>359</v>
      </c>
      <c r="AZ99" t="s">
        <v>360</v>
      </c>
      <c r="BA99" t="s">
        <v>348</v>
      </c>
      <c r="BB99" t="s">
        <v>1021</v>
      </c>
      <c r="BC99" t="s">
        <v>1021</v>
      </c>
      <c r="BD99" t="s">
        <v>1046</v>
      </c>
    </row>
    <row r="100" spans="10:56" x14ac:dyDescent="0.25">
      <c r="J100" s="48"/>
      <c r="AY100" t="s">
        <v>361</v>
      </c>
      <c r="AZ100" t="s">
        <v>362</v>
      </c>
      <c r="BA100" t="s">
        <v>348</v>
      </c>
      <c r="BB100" t="s">
        <v>995</v>
      </c>
      <c r="BC100" t="s">
        <v>996</v>
      </c>
      <c r="BD100" t="s">
        <v>1040</v>
      </c>
    </row>
    <row r="101" spans="10:56" x14ac:dyDescent="0.25">
      <c r="J101" s="48"/>
      <c r="AY101" t="s">
        <v>363</v>
      </c>
      <c r="AZ101" t="s">
        <v>364</v>
      </c>
      <c r="BA101" t="s">
        <v>348</v>
      </c>
      <c r="BB101" t="s">
        <v>1028</v>
      </c>
      <c r="BC101" t="s">
        <v>1035</v>
      </c>
      <c r="BD101" t="s">
        <v>1036</v>
      </c>
    </row>
    <row r="102" spans="10:56" x14ac:dyDescent="0.25">
      <c r="J102" s="48"/>
      <c r="AY102" t="s">
        <v>365</v>
      </c>
      <c r="AZ102" t="s">
        <v>366</v>
      </c>
      <c r="BA102" t="s">
        <v>348</v>
      </c>
      <c r="BB102" t="s">
        <v>986</v>
      </c>
      <c r="BC102" t="s">
        <v>1024</v>
      </c>
      <c r="BD102" t="s">
        <v>1034</v>
      </c>
    </row>
    <row r="103" spans="10:56" x14ac:dyDescent="0.25">
      <c r="J103" s="48"/>
      <c r="AY103" t="s">
        <v>367</v>
      </c>
      <c r="AZ103" t="s">
        <v>163</v>
      </c>
      <c r="BA103" t="s">
        <v>348</v>
      </c>
      <c r="BB103" t="s">
        <v>995</v>
      </c>
      <c r="BC103" t="s">
        <v>1041</v>
      </c>
      <c r="BD103" t="s">
        <v>1041</v>
      </c>
    </row>
    <row r="104" spans="10:56" x14ac:dyDescent="0.25">
      <c r="J104" s="48"/>
      <c r="AY104" t="s">
        <v>368</v>
      </c>
      <c r="AZ104" t="s">
        <v>133</v>
      </c>
      <c r="BA104" t="s">
        <v>348</v>
      </c>
      <c r="BB104" t="s">
        <v>995</v>
      </c>
      <c r="BC104" t="s">
        <v>1002</v>
      </c>
      <c r="BD104" t="s">
        <v>1002</v>
      </c>
    </row>
    <row r="105" spans="10:56" x14ac:dyDescent="0.25">
      <c r="J105" s="48"/>
      <c r="AY105" t="s">
        <v>369</v>
      </c>
      <c r="AZ105" t="s">
        <v>370</v>
      </c>
      <c r="BA105" t="s">
        <v>348</v>
      </c>
      <c r="BB105" t="s">
        <v>995</v>
      </c>
      <c r="BC105" t="s">
        <v>1002</v>
      </c>
      <c r="BD105" t="s">
        <v>1002</v>
      </c>
    </row>
    <row r="106" spans="10:56" x14ac:dyDescent="0.25">
      <c r="J106" s="48"/>
      <c r="AY106" t="s">
        <v>371</v>
      </c>
      <c r="AZ106" t="s">
        <v>372</v>
      </c>
      <c r="BA106" t="s">
        <v>348</v>
      </c>
      <c r="BB106" t="s">
        <v>995</v>
      </c>
      <c r="BC106" t="s">
        <v>1002</v>
      </c>
      <c r="BD106" t="s">
        <v>1002</v>
      </c>
    </row>
    <row r="107" spans="10:56" x14ac:dyDescent="0.25">
      <c r="J107" s="48"/>
      <c r="AY107" t="s">
        <v>373</v>
      </c>
      <c r="AZ107" t="s">
        <v>374</v>
      </c>
      <c r="BA107" t="s">
        <v>348</v>
      </c>
      <c r="BB107" t="s">
        <v>1044</v>
      </c>
      <c r="BC107" t="s">
        <v>1044</v>
      </c>
      <c r="BD107" t="s">
        <v>1045</v>
      </c>
    </row>
    <row r="108" spans="10:56" x14ac:dyDescent="0.25">
      <c r="J108" s="48"/>
      <c r="AY108" t="s">
        <v>375</v>
      </c>
      <c r="AZ108" t="s">
        <v>376</v>
      </c>
      <c r="BA108" t="s">
        <v>348</v>
      </c>
      <c r="BB108" t="s">
        <v>1044</v>
      </c>
      <c r="BC108" t="s">
        <v>1044</v>
      </c>
      <c r="BD108" t="s">
        <v>1045</v>
      </c>
    </row>
    <row r="109" spans="10:56" x14ac:dyDescent="0.25">
      <c r="J109" s="48"/>
      <c r="AY109" t="s">
        <v>377</v>
      </c>
      <c r="AZ109" t="s">
        <v>378</v>
      </c>
      <c r="BA109" t="s">
        <v>348</v>
      </c>
      <c r="BB109" t="s">
        <v>1044</v>
      </c>
      <c r="BC109" t="s">
        <v>1044</v>
      </c>
      <c r="BD109" t="s">
        <v>1047</v>
      </c>
    </row>
    <row r="110" spans="10:56" x14ac:dyDescent="0.25">
      <c r="J110" s="48"/>
      <c r="AY110" t="s">
        <v>379</v>
      </c>
      <c r="AZ110" t="s">
        <v>380</v>
      </c>
      <c r="BA110" t="s">
        <v>348</v>
      </c>
      <c r="BB110" t="s">
        <v>1003</v>
      </c>
      <c r="BC110" t="s">
        <v>1010</v>
      </c>
      <c r="BD110" t="s">
        <v>1027</v>
      </c>
    </row>
    <row r="111" spans="10:56" x14ac:dyDescent="0.25">
      <c r="J111" s="48"/>
      <c r="AY111" t="s">
        <v>381</v>
      </c>
      <c r="AZ111" t="s">
        <v>382</v>
      </c>
      <c r="BA111" t="s">
        <v>348</v>
      </c>
      <c r="BB111" t="s">
        <v>1044</v>
      </c>
      <c r="BC111" t="s">
        <v>1044</v>
      </c>
      <c r="BD111" t="s">
        <v>1045</v>
      </c>
    </row>
    <row r="112" spans="10:56" x14ac:dyDescent="0.25">
      <c r="J112" s="48"/>
      <c r="AY112" t="s">
        <v>383</v>
      </c>
      <c r="AZ112" t="s">
        <v>384</v>
      </c>
      <c r="BA112" t="s">
        <v>348</v>
      </c>
      <c r="BB112" t="s">
        <v>1028</v>
      </c>
      <c r="BC112" t="s">
        <v>1029</v>
      </c>
      <c r="BD112" t="s">
        <v>1048</v>
      </c>
    </row>
    <row r="113" spans="10:56" x14ac:dyDescent="0.25">
      <c r="J113" s="48"/>
      <c r="AY113" t="s">
        <v>385</v>
      </c>
      <c r="AZ113" t="s">
        <v>386</v>
      </c>
      <c r="BA113" t="s">
        <v>348</v>
      </c>
      <c r="BB113" t="s">
        <v>989</v>
      </c>
      <c r="BC113" t="s">
        <v>1014</v>
      </c>
      <c r="BD113" t="s">
        <v>1015</v>
      </c>
    </row>
    <row r="114" spans="10:56" x14ac:dyDescent="0.25">
      <c r="J114" s="48"/>
      <c r="AY114" t="s">
        <v>387</v>
      </c>
      <c r="AZ114" t="s">
        <v>388</v>
      </c>
      <c r="BA114" t="s">
        <v>348</v>
      </c>
      <c r="BB114" t="s">
        <v>1028</v>
      </c>
      <c r="BC114" t="s">
        <v>1031</v>
      </c>
      <c r="BD114" t="s">
        <v>1032</v>
      </c>
    </row>
    <row r="115" spans="10:56" x14ac:dyDescent="0.25">
      <c r="J115" s="48"/>
      <c r="AY115" t="s">
        <v>389</v>
      </c>
      <c r="AZ115" t="s">
        <v>236</v>
      </c>
      <c r="BA115" t="s">
        <v>348</v>
      </c>
      <c r="BB115" t="s">
        <v>1044</v>
      </c>
      <c r="BC115" t="s">
        <v>1044</v>
      </c>
      <c r="BD115" t="s">
        <v>1045</v>
      </c>
    </row>
    <row r="116" spans="10:56" x14ac:dyDescent="0.25">
      <c r="J116" s="48"/>
      <c r="AY116" t="s">
        <v>390</v>
      </c>
      <c r="AZ116" t="s">
        <v>391</v>
      </c>
      <c r="BA116" t="s">
        <v>348</v>
      </c>
      <c r="BB116" t="s">
        <v>1003</v>
      </c>
      <c r="BC116" t="s">
        <v>1004</v>
      </c>
      <c r="BD116" t="s">
        <v>1005</v>
      </c>
    </row>
    <row r="117" spans="10:56" x14ac:dyDescent="0.25">
      <c r="J117" s="48"/>
      <c r="AY117" t="s">
        <v>392</v>
      </c>
      <c r="AZ117" t="s">
        <v>393</v>
      </c>
      <c r="BA117" t="s">
        <v>348</v>
      </c>
      <c r="BB117" t="s">
        <v>1021</v>
      </c>
      <c r="BC117" t="s">
        <v>1021</v>
      </c>
      <c r="BD117" t="s">
        <v>1022</v>
      </c>
    </row>
    <row r="118" spans="10:56" x14ac:dyDescent="0.25">
      <c r="J118" s="48"/>
      <c r="AY118" t="s">
        <v>394</v>
      </c>
      <c r="AZ118" t="s">
        <v>395</v>
      </c>
      <c r="BA118" t="s">
        <v>348</v>
      </c>
      <c r="BB118" t="s">
        <v>1028</v>
      </c>
      <c r="BC118" t="s">
        <v>1035</v>
      </c>
      <c r="BD118" t="s">
        <v>1036</v>
      </c>
    </row>
    <row r="119" spans="10:56" x14ac:dyDescent="0.25">
      <c r="J119" s="48"/>
      <c r="AY119" t="s">
        <v>396</v>
      </c>
      <c r="AZ119" t="s">
        <v>397</v>
      </c>
      <c r="BA119" t="s">
        <v>348</v>
      </c>
      <c r="BB119" t="s">
        <v>1021</v>
      </c>
      <c r="BC119" t="s">
        <v>1049</v>
      </c>
    </row>
    <row r="120" spans="10:56" x14ac:dyDescent="0.25">
      <c r="J120" s="48"/>
      <c r="AY120" t="s">
        <v>398</v>
      </c>
      <c r="AZ120" t="s">
        <v>399</v>
      </c>
      <c r="BA120" t="s">
        <v>348</v>
      </c>
      <c r="BB120" t="s">
        <v>1028</v>
      </c>
      <c r="BC120" t="s">
        <v>1031</v>
      </c>
      <c r="BD120" t="s">
        <v>1050</v>
      </c>
    </row>
    <row r="121" spans="10:56" x14ac:dyDescent="0.25">
      <c r="J121" s="48"/>
      <c r="AY121" t="s">
        <v>400</v>
      </c>
      <c r="AZ121" t="s">
        <v>401</v>
      </c>
      <c r="BA121" t="s">
        <v>348</v>
      </c>
      <c r="BB121" t="s">
        <v>989</v>
      </c>
      <c r="BC121" t="s">
        <v>1019</v>
      </c>
      <c r="BD121" t="s">
        <v>1020</v>
      </c>
    </row>
    <row r="122" spans="10:56" x14ac:dyDescent="0.25">
      <c r="J122" s="48"/>
      <c r="AY122" t="s">
        <v>402</v>
      </c>
      <c r="AZ122" t="s">
        <v>403</v>
      </c>
      <c r="BA122" t="s">
        <v>348</v>
      </c>
      <c r="BB122" t="s">
        <v>986</v>
      </c>
      <c r="BC122" t="s">
        <v>987</v>
      </c>
      <c r="BD122" t="s">
        <v>1026</v>
      </c>
    </row>
    <row r="123" spans="10:56" x14ac:dyDescent="0.25">
      <c r="J123" s="48"/>
      <c r="AY123" t="s">
        <v>404</v>
      </c>
      <c r="AZ123" t="s">
        <v>405</v>
      </c>
      <c r="BA123" t="s">
        <v>348</v>
      </c>
      <c r="BB123" t="s">
        <v>995</v>
      </c>
      <c r="BC123" t="s">
        <v>1041</v>
      </c>
      <c r="BD123" t="s">
        <v>1041</v>
      </c>
    </row>
    <row r="124" spans="10:56" x14ac:dyDescent="0.25">
      <c r="J124" s="48"/>
      <c r="AY124" t="s">
        <v>406</v>
      </c>
      <c r="AZ124" t="s">
        <v>407</v>
      </c>
      <c r="BA124" t="s">
        <v>348</v>
      </c>
      <c r="BB124" t="s">
        <v>1051</v>
      </c>
      <c r="BC124" t="s">
        <v>1052</v>
      </c>
      <c r="BD124" t="s">
        <v>1053</v>
      </c>
    </row>
    <row r="125" spans="10:56" x14ac:dyDescent="0.25">
      <c r="J125" s="48"/>
      <c r="AY125" t="s">
        <v>408</v>
      </c>
      <c r="AZ125" t="s">
        <v>409</v>
      </c>
      <c r="BA125" t="s">
        <v>348</v>
      </c>
      <c r="BB125" t="s">
        <v>1044</v>
      </c>
      <c r="BC125" t="s">
        <v>1044</v>
      </c>
      <c r="BD125" t="s">
        <v>1054</v>
      </c>
    </row>
    <row r="126" spans="10:56" x14ac:dyDescent="0.25">
      <c r="J126" s="48"/>
      <c r="AY126" t="s">
        <v>410</v>
      </c>
      <c r="AZ126" t="s">
        <v>411</v>
      </c>
      <c r="BA126" t="s">
        <v>348</v>
      </c>
      <c r="BB126" t="s">
        <v>986</v>
      </c>
      <c r="BC126" t="s">
        <v>987</v>
      </c>
      <c r="BD126" t="s">
        <v>1026</v>
      </c>
    </row>
    <row r="127" spans="10:56" x14ac:dyDescent="0.25">
      <c r="J127" s="48"/>
      <c r="AY127" t="s">
        <v>412</v>
      </c>
      <c r="AZ127" t="s">
        <v>413</v>
      </c>
      <c r="BA127" t="s">
        <v>348</v>
      </c>
      <c r="BB127" t="s">
        <v>995</v>
      </c>
      <c r="BC127" t="s">
        <v>996</v>
      </c>
      <c r="BD127" t="s">
        <v>1040</v>
      </c>
    </row>
    <row r="128" spans="10:56" x14ac:dyDescent="0.25">
      <c r="J128" s="48"/>
      <c r="AY128" t="s">
        <v>414</v>
      </c>
      <c r="AZ128" t="s">
        <v>415</v>
      </c>
      <c r="BA128" t="s">
        <v>348</v>
      </c>
      <c r="BB128" t="s">
        <v>989</v>
      </c>
      <c r="BC128" t="s">
        <v>1014</v>
      </c>
      <c r="BD128" t="s">
        <v>1015</v>
      </c>
    </row>
    <row r="129" spans="10:56" x14ac:dyDescent="0.25">
      <c r="J129" s="48"/>
      <c r="AY129" t="s">
        <v>207</v>
      </c>
      <c r="AZ129" t="s">
        <v>208</v>
      </c>
      <c r="BA129" t="s">
        <v>416</v>
      </c>
      <c r="BB129" t="s">
        <v>981</v>
      </c>
      <c r="BC129" t="s">
        <v>984</v>
      </c>
      <c r="BD129" t="s">
        <v>985</v>
      </c>
    </row>
    <row r="130" spans="10:56" x14ac:dyDescent="0.25">
      <c r="J130" s="48"/>
      <c r="AY130" t="s">
        <v>209</v>
      </c>
      <c r="AZ130" t="s">
        <v>417</v>
      </c>
      <c r="BA130" t="s">
        <v>416</v>
      </c>
      <c r="BB130" t="s">
        <v>1028</v>
      </c>
      <c r="BC130" t="s">
        <v>1031</v>
      </c>
      <c r="BD130" t="s">
        <v>1033</v>
      </c>
    </row>
    <row r="131" spans="10:56" x14ac:dyDescent="0.25">
      <c r="J131" s="48"/>
      <c r="AY131" t="s">
        <v>418</v>
      </c>
      <c r="AZ131" t="s">
        <v>419</v>
      </c>
      <c r="BA131" t="s">
        <v>416</v>
      </c>
      <c r="BB131" t="s">
        <v>986</v>
      </c>
      <c r="BC131" t="s">
        <v>1024</v>
      </c>
      <c r="BD131" t="s">
        <v>1025</v>
      </c>
    </row>
    <row r="132" spans="10:56" x14ac:dyDescent="0.25">
      <c r="J132" s="48"/>
      <c r="AY132" t="s">
        <v>215</v>
      </c>
      <c r="AZ132" t="s">
        <v>216</v>
      </c>
      <c r="BA132" t="s">
        <v>416</v>
      </c>
      <c r="BB132" t="s">
        <v>995</v>
      </c>
      <c r="BC132" t="s">
        <v>1041</v>
      </c>
      <c r="BD132" t="s">
        <v>1041</v>
      </c>
    </row>
    <row r="133" spans="10:56" x14ac:dyDescent="0.25">
      <c r="J133" s="48"/>
      <c r="AY133" t="s">
        <v>420</v>
      </c>
      <c r="AZ133" t="s">
        <v>421</v>
      </c>
      <c r="BA133" t="s">
        <v>416</v>
      </c>
      <c r="BB133" t="s">
        <v>995</v>
      </c>
      <c r="BC133" t="s">
        <v>1041</v>
      </c>
      <c r="BD133" t="s">
        <v>1041</v>
      </c>
    </row>
    <row r="134" spans="10:56" x14ac:dyDescent="0.25">
      <c r="J134" s="48"/>
      <c r="AY134" t="s">
        <v>422</v>
      </c>
      <c r="AZ134" t="s">
        <v>423</v>
      </c>
      <c r="BA134" t="s">
        <v>416</v>
      </c>
      <c r="BB134" t="s">
        <v>1028</v>
      </c>
      <c r="BC134" t="s">
        <v>1031</v>
      </c>
      <c r="BD134" t="s">
        <v>1032</v>
      </c>
    </row>
    <row r="135" spans="10:56" x14ac:dyDescent="0.25">
      <c r="J135" s="48"/>
      <c r="AY135" t="s">
        <v>210</v>
      </c>
      <c r="AZ135" t="s">
        <v>211</v>
      </c>
      <c r="BA135" t="s">
        <v>416</v>
      </c>
      <c r="BB135" t="s">
        <v>989</v>
      </c>
      <c r="BC135" t="s">
        <v>993</v>
      </c>
      <c r="BD135" t="s">
        <v>994</v>
      </c>
    </row>
    <row r="136" spans="10:56" x14ac:dyDescent="0.25">
      <c r="J136" s="48"/>
      <c r="AY136" t="s">
        <v>213</v>
      </c>
      <c r="AZ136" t="s">
        <v>214</v>
      </c>
      <c r="BA136" t="s">
        <v>416</v>
      </c>
      <c r="BB136" t="s">
        <v>1044</v>
      </c>
      <c r="BC136" t="s">
        <v>1055</v>
      </c>
    </row>
    <row r="137" spans="10:56" x14ac:dyDescent="0.25">
      <c r="J137" s="48"/>
      <c r="AY137" t="s">
        <v>424</v>
      </c>
      <c r="AZ137" t="s">
        <v>425</v>
      </c>
      <c r="BA137" t="s">
        <v>416</v>
      </c>
      <c r="BB137" t="s">
        <v>1021</v>
      </c>
      <c r="BC137" t="s">
        <v>1056</v>
      </c>
    </row>
    <row r="138" spans="10:56" x14ac:dyDescent="0.25">
      <c r="J138" s="48"/>
      <c r="AY138" t="s">
        <v>426</v>
      </c>
      <c r="AZ138" t="s">
        <v>427</v>
      </c>
      <c r="BA138" t="s">
        <v>416</v>
      </c>
      <c r="BB138" t="s">
        <v>989</v>
      </c>
      <c r="BC138" t="s">
        <v>1057</v>
      </c>
    </row>
    <row r="139" spans="10:56" x14ac:dyDescent="0.25">
      <c r="J139" s="48"/>
      <c r="AY139" t="s">
        <v>428</v>
      </c>
      <c r="AZ139" t="s">
        <v>429</v>
      </c>
      <c r="BA139" t="s">
        <v>416</v>
      </c>
      <c r="BB139" t="s">
        <v>995</v>
      </c>
      <c r="BC139" t="s">
        <v>996</v>
      </c>
      <c r="BD139" t="s">
        <v>1040</v>
      </c>
    </row>
    <row r="140" spans="10:56" x14ac:dyDescent="0.25">
      <c r="J140" s="48"/>
      <c r="AY140" t="s">
        <v>212</v>
      </c>
      <c r="AZ140" t="s">
        <v>430</v>
      </c>
      <c r="BA140" t="s">
        <v>416</v>
      </c>
      <c r="BB140" t="s">
        <v>989</v>
      </c>
      <c r="BC140" t="s">
        <v>993</v>
      </c>
      <c r="BD140" t="s">
        <v>994</v>
      </c>
    </row>
    <row r="141" spans="10:56" x14ac:dyDescent="0.25">
      <c r="J141" s="48"/>
      <c r="AY141" t="s">
        <v>431</v>
      </c>
      <c r="AZ141" t="s">
        <v>432</v>
      </c>
      <c r="BA141" t="s">
        <v>416</v>
      </c>
      <c r="BB141" t="s">
        <v>989</v>
      </c>
      <c r="BC141" t="s">
        <v>1058</v>
      </c>
    </row>
    <row r="142" spans="10:56" x14ac:dyDescent="0.25">
      <c r="J142" s="48"/>
      <c r="AY142" t="s">
        <v>433</v>
      </c>
      <c r="AZ142" t="s">
        <v>434</v>
      </c>
      <c r="BA142" t="s">
        <v>416</v>
      </c>
      <c r="BB142" t="s">
        <v>1028</v>
      </c>
      <c r="BC142" t="s">
        <v>1031</v>
      </c>
      <c r="BD142" t="s">
        <v>1050</v>
      </c>
    </row>
    <row r="143" spans="10:56" x14ac:dyDescent="0.25">
      <c r="J143" s="48"/>
      <c r="AY143" t="s">
        <v>435</v>
      </c>
      <c r="AZ143" t="s">
        <v>436</v>
      </c>
      <c r="BA143" t="s">
        <v>416</v>
      </c>
      <c r="BB143" t="s">
        <v>989</v>
      </c>
      <c r="BC143" t="s">
        <v>993</v>
      </c>
      <c r="BD143" t="s">
        <v>1059</v>
      </c>
    </row>
    <row r="144" spans="10:56" x14ac:dyDescent="0.25">
      <c r="J144" s="48"/>
      <c r="AY144" t="s">
        <v>437</v>
      </c>
      <c r="AZ144" t="s">
        <v>438</v>
      </c>
      <c r="BA144" t="s">
        <v>416</v>
      </c>
      <c r="BB144" t="s">
        <v>1003</v>
      </c>
      <c r="BC144" t="s">
        <v>1004</v>
      </c>
    </row>
    <row r="145" spans="10:56" x14ac:dyDescent="0.25">
      <c r="J145" s="48"/>
      <c r="AY145" t="s">
        <v>439</v>
      </c>
      <c r="AZ145" t="s">
        <v>440</v>
      </c>
      <c r="BA145" t="s">
        <v>416</v>
      </c>
      <c r="BB145" t="s">
        <v>997</v>
      </c>
      <c r="BC145" t="s">
        <v>998</v>
      </c>
      <c r="BD145" t="s">
        <v>999</v>
      </c>
    </row>
    <row r="146" spans="10:56" x14ac:dyDescent="0.25">
      <c r="J146" s="48"/>
      <c r="AY146" t="s">
        <v>441</v>
      </c>
      <c r="AZ146" t="s">
        <v>442</v>
      </c>
      <c r="BA146" t="s">
        <v>416</v>
      </c>
      <c r="BB146" t="s">
        <v>981</v>
      </c>
      <c r="BC146" t="s">
        <v>1060</v>
      </c>
    </row>
    <row r="147" spans="10:56" x14ac:dyDescent="0.25">
      <c r="J147" s="48"/>
      <c r="AY147" t="s">
        <v>443</v>
      </c>
      <c r="AZ147" t="s">
        <v>444</v>
      </c>
      <c r="BA147" t="s">
        <v>416</v>
      </c>
      <c r="BB147" t="s">
        <v>1021</v>
      </c>
      <c r="BC147" t="s">
        <v>1021</v>
      </c>
      <c r="BD147" t="s">
        <v>1061</v>
      </c>
    </row>
    <row r="148" spans="10:56" x14ac:dyDescent="0.25">
      <c r="J148" s="48"/>
      <c r="AY148" t="s">
        <v>445</v>
      </c>
      <c r="AZ148" t="s">
        <v>446</v>
      </c>
      <c r="BA148" t="s">
        <v>416</v>
      </c>
      <c r="BB148" t="s">
        <v>1028</v>
      </c>
      <c r="BC148" t="s">
        <v>1062</v>
      </c>
    </row>
    <row r="149" spans="10:56" x14ac:dyDescent="0.25">
      <c r="J149" s="48"/>
      <c r="AY149" t="s">
        <v>447</v>
      </c>
      <c r="AZ149" t="s">
        <v>448</v>
      </c>
      <c r="BA149" t="s">
        <v>416</v>
      </c>
      <c r="BB149" t="s">
        <v>1051</v>
      </c>
      <c r="BC149" t="s">
        <v>1063</v>
      </c>
    </row>
    <row r="150" spans="10:56" x14ac:dyDescent="0.25">
      <c r="J150" s="48"/>
      <c r="AY150" t="s">
        <v>449</v>
      </c>
      <c r="AZ150" t="s">
        <v>450</v>
      </c>
      <c r="BA150" t="s">
        <v>416</v>
      </c>
      <c r="BB150" t="s">
        <v>1044</v>
      </c>
      <c r="BC150" t="s">
        <v>1044</v>
      </c>
      <c r="BD150" t="s">
        <v>1047</v>
      </c>
    </row>
    <row r="151" spans="10:56" x14ac:dyDescent="0.25">
      <c r="J151" s="48"/>
      <c r="AY151" t="s">
        <v>451</v>
      </c>
      <c r="AZ151" t="s">
        <v>452</v>
      </c>
      <c r="BA151" t="s">
        <v>416</v>
      </c>
      <c r="BB151" t="s">
        <v>989</v>
      </c>
      <c r="BC151" t="s">
        <v>1057</v>
      </c>
    </row>
    <row r="152" spans="10:56" x14ac:dyDescent="0.25">
      <c r="J152" s="48"/>
      <c r="AY152" t="s">
        <v>453</v>
      </c>
      <c r="AZ152" t="s">
        <v>454</v>
      </c>
      <c r="BA152" t="s">
        <v>416</v>
      </c>
      <c r="BB152" t="s">
        <v>997</v>
      </c>
      <c r="BC152" t="s">
        <v>1064</v>
      </c>
    </row>
    <row r="153" spans="10:56" x14ac:dyDescent="0.25">
      <c r="J153" s="48"/>
      <c r="AY153" t="s">
        <v>455</v>
      </c>
      <c r="AZ153" t="s">
        <v>456</v>
      </c>
      <c r="BA153" t="s">
        <v>416</v>
      </c>
      <c r="BB153" t="s">
        <v>989</v>
      </c>
      <c r="BC153" t="s">
        <v>990</v>
      </c>
      <c r="BD153" t="s">
        <v>1008</v>
      </c>
    </row>
    <row r="154" spans="10:56" x14ac:dyDescent="0.25">
      <c r="J154" s="48"/>
      <c r="AY154" t="s">
        <v>457</v>
      </c>
      <c r="AZ154" t="s">
        <v>458</v>
      </c>
      <c r="BA154" t="s">
        <v>416</v>
      </c>
      <c r="BB154" t="s">
        <v>1003</v>
      </c>
      <c r="BC154" t="s">
        <v>1004</v>
      </c>
      <c r="BD154" t="s">
        <v>1043</v>
      </c>
    </row>
    <row r="155" spans="10:56" x14ac:dyDescent="0.25">
      <c r="J155" s="48"/>
      <c r="AY155" t="s">
        <v>459</v>
      </c>
      <c r="AZ155" t="s">
        <v>460</v>
      </c>
      <c r="BA155" t="s">
        <v>416</v>
      </c>
      <c r="BB155" t="s">
        <v>1028</v>
      </c>
      <c r="BC155" t="s">
        <v>1031</v>
      </c>
      <c r="BD155" t="s">
        <v>1032</v>
      </c>
    </row>
    <row r="156" spans="10:56" x14ac:dyDescent="0.25">
      <c r="J156" s="48"/>
      <c r="AY156" t="s">
        <v>461</v>
      </c>
      <c r="AZ156" t="s">
        <v>462</v>
      </c>
      <c r="BA156" t="s">
        <v>416</v>
      </c>
      <c r="BB156" t="s">
        <v>989</v>
      </c>
      <c r="BC156" t="s">
        <v>1019</v>
      </c>
      <c r="BD156" t="s">
        <v>1020</v>
      </c>
    </row>
    <row r="157" spans="10:56" x14ac:dyDescent="0.25">
      <c r="J157" s="48"/>
      <c r="AY157" t="s">
        <v>463</v>
      </c>
      <c r="AZ157" t="s">
        <v>464</v>
      </c>
      <c r="BA157" t="s">
        <v>416</v>
      </c>
      <c r="BB157" t="s">
        <v>1044</v>
      </c>
      <c r="BC157" t="s">
        <v>1065</v>
      </c>
    </row>
    <row r="158" spans="10:56" x14ac:dyDescent="0.25">
      <c r="J158" s="48"/>
      <c r="AY158" t="s">
        <v>465</v>
      </c>
      <c r="AZ158" t="s">
        <v>466</v>
      </c>
      <c r="BA158" t="s">
        <v>416</v>
      </c>
      <c r="BB158" t="s">
        <v>997</v>
      </c>
      <c r="BC158" t="s">
        <v>1000</v>
      </c>
      <c r="BD158" t="s">
        <v>1013</v>
      </c>
    </row>
    <row r="159" spans="10:56" x14ac:dyDescent="0.25">
      <c r="J159" s="48"/>
      <c r="AY159" t="s">
        <v>467</v>
      </c>
      <c r="AZ159" t="s">
        <v>468</v>
      </c>
      <c r="BA159" t="s">
        <v>416</v>
      </c>
      <c r="BB159" t="s">
        <v>995</v>
      </c>
      <c r="BC159" t="s">
        <v>1041</v>
      </c>
      <c r="BD159" t="s">
        <v>1041</v>
      </c>
    </row>
    <row r="160" spans="10:56" x14ac:dyDescent="0.25">
      <c r="J160" s="48"/>
      <c r="AY160" t="s">
        <v>469</v>
      </c>
      <c r="AZ160" t="s">
        <v>470</v>
      </c>
      <c r="BA160" t="s">
        <v>416</v>
      </c>
      <c r="BB160" t="s">
        <v>1044</v>
      </c>
      <c r="BC160" t="s">
        <v>1044</v>
      </c>
      <c r="BD160" t="s">
        <v>1055</v>
      </c>
    </row>
    <row r="161" spans="10:56" x14ac:dyDescent="0.25">
      <c r="J161" s="48"/>
      <c r="AY161" t="s">
        <v>471</v>
      </c>
      <c r="AZ161" t="s">
        <v>472</v>
      </c>
      <c r="BA161" t="s">
        <v>416</v>
      </c>
      <c r="BB161" t="s">
        <v>989</v>
      </c>
      <c r="BC161" t="s">
        <v>993</v>
      </c>
      <c r="BD161" t="s">
        <v>994</v>
      </c>
    </row>
    <row r="162" spans="10:56" x14ac:dyDescent="0.25">
      <c r="J162" s="48"/>
      <c r="AY162" t="s">
        <v>473</v>
      </c>
      <c r="AZ162" t="s">
        <v>474</v>
      </c>
      <c r="BA162" t="s">
        <v>416</v>
      </c>
      <c r="BB162" t="s">
        <v>997</v>
      </c>
      <c r="BC162" t="s">
        <v>1000</v>
      </c>
      <c r="BD162" t="s">
        <v>1001</v>
      </c>
    </row>
    <row r="163" spans="10:56" x14ac:dyDescent="0.25">
      <c r="J163" s="48"/>
      <c r="AY163" t="s">
        <v>475</v>
      </c>
      <c r="AZ163" t="s">
        <v>106</v>
      </c>
      <c r="BA163" t="s">
        <v>416</v>
      </c>
      <c r="BB163" t="s">
        <v>997</v>
      </c>
      <c r="BC163" t="s">
        <v>1066</v>
      </c>
    </row>
    <row r="164" spans="10:56" x14ac:dyDescent="0.25">
      <c r="J164" s="48"/>
      <c r="AY164" t="s">
        <v>476</v>
      </c>
      <c r="AZ164" t="s">
        <v>477</v>
      </c>
      <c r="BA164" t="s">
        <v>416</v>
      </c>
      <c r="BB164" t="s">
        <v>1028</v>
      </c>
      <c r="BC164" t="s">
        <v>1067</v>
      </c>
    </row>
    <row r="165" spans="10:56" x14ac:dyDescent="0.25">
      <c r="J165" s="48"/>
      <c r="AY165" t="s">
        <v>478</v>
      </c>
      <c r="AZ165" t="s">
        <v>479</v>
      </c>
      <c r="BA165" t="s">
        <v>416</v>
      </c>
      <c r="BB165" t="s">
        <v>989</v>
      </c>
      <c r="BC165" t="s">
        <v>1068</v>
      </c>
    </row>
    <row r="166" spans="10:56" x14ac:dyDescent="0.25">
      <c r="J166" s="48"/>
      <c r="AY166" t="s">
        <v>480</v>
      </c>
      <c r="AZ166" t="s">
        <v>481</v>
      </c>
      <c r="BA166" t="s">
        <v>416</v>
      </c>
      <c r="BB166" t="s">
        <v>997</v>
      </c>
      <c r="BC166" t="s">
        <v>998</v>
      </c>
      <c r="BD166" t="s">
        <v>999</v>
      </c>
    </row>
    <row r="167" spans="10:56" x14ac:dyDescent="0.25">
      <c r="J167" s="48"/>
      <c r="AY167" t="s">
        <v>482</v>
      </c>
      <c r="AZ167" t="s">
        <v>483</v>
      </c>
      <c r="BA167" t="s">
        <v>416</v>
      </c>
      <c r="BB167" t="s">
        <v>997</v>
      </c>
      <c r="BC167" t="s">
        <v>1000</v>
      </c>
      <c r="BD167" t="s">
        <v>1001</v>
      </c>
    </row>
    <row r="168" spans="10:56" x14ac:dyDescent="0.25">
      <c r="J168" s="48"/>
      <c r="AY168" t="s">
        <v>484</v>
      </c>
      <c r="AZ168" t="s">
        <v>485</v>
      </c>
      <c r="BA168" t="s">
        <v>416</v>
      </c>
      <c r="BB168" t="s">
        <v>1044</v>
      </c>
      <c r="BC168" t="s">
        <v>1065</v>
      </c>
    </row>
    <row r="169" spans="10:56" x14ac:dyDescent="0.25">
      <c r="J169" s="48"/>
      <c r="AY169" t="s">
        <v>205</v>
      </c>
      <c r="AZ169" t="s">
        <v>486</v>
      </c>
      <c r="BA169" t="s">
        <v>487</v>
      </c>
      <c r="BB169" t="s">
        <v>989</v>
      </c>
      <c r="BC169" t="s">
        <v>1069</v>
      </c>
    </row>
    <row r="170" spans="10:56" x14ac:dyDescent="0.25">
      <c r="J170" s="48"/>
      <c r="AY170" t="s">
        <v>206</v>
      </c>
      <c r="AZ170" t="s">
        <v>488</v>
      </c>
      <c r="BA170" t="s">
        <v>487</v>
      </c>
      <c r="BB170" t="s">
        <v>1003</v>
      </c>
      <c r="BC170" t="s">
        <v>1004</v>
      </c>
    </row>
    <row r="171" spans="10:56" x14ac:dyDescent="0.25">
      <c r="J171" s="48"/>
      <c r="AY171" t="s">
        <v>489</v>
      </c>
      <c r="AZ171" t="s">
        <v>173</v>
      </c>
      <c r="BA171" t="s">
        <v>487</v>
      </c>
      <c r="BB171" t="s">
        <v>997</v>
      </c>
      <c r="BC171" t="s">
        <v>1070</v>
      </c>
    </row>
    <row r="172" spans="10:56" x14ac:dyDescent="0.25">
      <c r="J172" s="48"/>
      <c r="AY172" t="s">
        <v>490</v>
      </c>
      <c r="AZ172" t="s">
        <v>182</v>
      </c>
      <c r="BA172" t="s">
        <v>487</v>
      </c>
      <c r="BB172" t="s">
        <v>1006</v>
      </c>
      <c r="BC172" t="s">
        <v>1071</v>
      </c>
    </row>
    <row r="173" spans="10:56" x14ac:dyDescent="0.25">
      <c r="J173" s="48"/>
      <c r="AY173" t="s">
        <v>491</v>
      </c>
      <c r="AZ173" t="s">
        <v>492</v>
      </c>
      <c r="BA173" t="s">
        <v>487</v>
      </c>
      <c r="BB173" t="s">
        <v>1044</v>
      </c>
      <c r="BC173" t="s">
        <v>1065</v>
      </c>
    </row>
    <row r="174" spans="10:56" x14ac:dyDescent="0.25">
      <c r="J174" s="48"/>
      <c r="AY174" t="s">
        <v>493</v>
      </c>
      <c r="AZ174" t="s">
        <v>494</v>
      </c>
      <c r="BA174" t="s">
        <v>487</v>
      </c>
      <c r="BB174" t="s">
        <v>1003</v>
      </c>
      <c r="BC174" t="s">
        <v>1072</v>
      </c>
    </row>
    <row r="175" spans="10:56" x14ac:dyDescent="0.25">
      <c r="J175" s="48"/>
      <c r="AY175" t="s">
        <v>495</v>
      </c>
      <c r="AZ175" t="s">
        <v>496</v>
      </c>
      <c r="BA175" t="s">
        <v>487</v>
      </c>
      <c r="BB175" t="s">
        <v>1028</v>
      </c>
      <c r="BC175" t="s">
        <v>1073</v>
      </c>
    </row>
    <row r="176" spans="10:56" x14ac:dyDescent="0.25">
      <c r="J176" s="48"/>
      <c r="AY176" t="s">
        <v>497</v>
      </c>
      <c r="AZ176" t="s">
        <v>498</v>
      </c>
      <c r="BA176" t="s">
        <v>487</v>
      </c>
      <c r="BB176" t="s">
        <v>1028</v>
      </c>
      <c r="BC176" t="s">
        <v>1031</v>
      </c>
      <c r="BD176" t="s">
        <v>1032</v>
      </c>
    </row>
    <row r="177" spans="10:56" x14ac:dyDescent="0.25">
      <c r="J177" s="48"/>
      <c r="AY177" t="s">
        <v>499</v>
      </c>
      <c r="AZ177" t="s">
        <v>500</v>
      </c>
      <c r="BA177" t="s">
        <v>487</v>
      </c>
      <c r="BB177" t="s">
        <v>995</v>
      </c>
      <c r="BC177" t="s">
        <v>1074</v>
      </c>
    </row>
    <row r="178" spans="10:56" x14ac:dyDescent="0.25">
      <c r="J178" s="48"/>
      <c r="AY178" t="s">
        <v>501</v>
      </c>
      <c r="AZ178" t="s">
        <v>502</v>
      </c>
      <c r="BA178" t="s">
        <v>487</v>
      </c>
      <c r="BB178" t="s">
        <v>997</v>
      </c>
      <c r="BC178" t="s">
        <v>1075</v>
      </c>
    </row>
    <row r="179" spans="10:56" x14ac:dyDescent="0.25">
      <c r="J179" s="48"/>
      <c r="AY179" t="s">
        <v>503</v>
      </c>
      <c r="AZ179" t="s">
        <v>504</v>
      </c>
      <c r="BA179" t="s">
        <v>487</v>
      </c>
      <c r="BB179" t="s">
        <v>986</v>
      </c>
      <c r="BC179" t="s">
        <v>987</v>
      </c>
      <c r="BD179" t="s">
        <v>1023</v>
      </c>
    </row>
    <row r="180" spans="10:56" x14ac:dyDescent="0.25">
      <c r="J180" s="48"/>
      <c r="AY180" t="s">
        <v>505</v>
      </c>
      <c r="AZ180" t="s">
        <v>506</v>
      </c>
      <c r="BA180" t="s">
        <v>487</v>
      </c>
      <c r="BB180" t="s">
        <v>981</v>
      </c>
      <c r="BC180" t="s">
        <v>1076</v>
      </c>
    </row>
    <row r="181" spans="10:56" x14ac:dyDescent="0.25">
      <c r="J181" s="48"/>
      <c r="AY181" t="s">
        <v>507</v>
      </c>
      <c r="AZ181" t="s">
        <v>508</v>
      </c>
      <c r="BA181" t="s">
        <v>487</v>
      </c>
      <c r="BB181" t="s">
        <v>995</v>
      </c>
      <c r="BC181" t="s">
        <v>1077</v>
      </c>
    </row>
    <row r="182" spans="10:56" x14ac:dyDescent="0.25">
      <c r="J182" s="48"/>
      <c r="AY182" t="s">
        <v>509</v>
      </c>
      <c r="AZ182" t="s">
        <v>510</v>
      </c>
      <c r="BA182" t="s">
        <v>487</v>
      </c>
      <c r="BB182" t="s">
        <v>1028</v>
      </c>
      <c r="BC182" t="s">
        <v>1078</v>
      </c>
    </row>
    <row r="183" spans="10:56" x14ac:dyDescent="0.25">
      <c r="J183" s="48"/>
      <c r="AY183" t="s">
        <v>511</v>
      </c>
      <c r="AZ183" t="s">
        <v>512</v>
      </c>
      <c r="BA183" t="s">
        <v>487</v>
      </c>
      <c r="BB183" t="s">
        <v>1003</v>
      </c>
      <c r="BC183" t="s">
        <v>1079</v>
      </c>
    </row>
    <row r="184" spans="10:56" x14ac:dyDescent="0.25">
      <c r="J184" s="48"/>
      <c r="AY184" t="s">
        <v>513</v>
      </c>
      <c r="AZ184" t="s">
        <v>514</v>
      </c>
      <c r="BA184" t="s">
        <v>487</v>
      </c>
      <c r="BB184" t="s">
        <v>989</v>
      </c>
      <c r="BC184" t="s">
        <v>1069</v>
      </c>
    </row>
    <row r="185" spans="10:56" x14ac:dyDescent="0.25">
      <c r="J185" s="48"/>
      <c r="AY185" t="s">
        <v>515</v>
      </c>
      <c r="AZ185" t="s">
        <v>516</v>
      </c>
      <c r="BA185" t="s">
        <v>487</v>
      </c>
      <c r="BB185" t="s">
        <v>995</v>
      </c>
      <c r="BC185" t="s">
        <v>1077</v>
      </c>
    </row>
    <row r="186" spans="10:56" x14ac:dyDescent="0.25">
      <c r="J186" s="48"/>
      <c r="AY186" t="s">
        <v>204</v>
      </c>
      <c r="AZ186" t="s">
        <v>517</v>
      </c>
      <c r="BA186" t="s">
        <v>487</v>
      </c>
      <c r="BB186" t="s">
        <v>989</v>
      </c>
      <c r="BC186" t="s">
        <v>1069</v>
      </c>
    </row>
    <row r="187" spans="10:56" x14ac:dyDescent="0.25">
      <c r="J187" s="48"/>
      <c r="AY187" t="s">
        <v>518</v>
      </c>
      <c r="AZ187" t="s">
        <v>519</v>
      </c>
      <c r="BA187" t="s">
        <v>487</v>
      </c>
      <c r="BB187" t="s">
        <v>986</v>
      </c>
      <c r="BC187" t="s">
        <v>1080</v>
      </c>
    </row>
    <row r="188" spans="10:56" x14ac:dyDescent="0.25">
      <c r="J188" s="48"/>
      <c r="AY188" t="s">
        <v>520</v>
      </c>
      <c r="AZ188" t="s">
        <v>521</v>
      </c>
      <c r="BA188" t="s">
        <v>487</v>
      </c>
      <c r="BB188" t="s">
        <v>1028</v>
      </c>
      <c r="BC188" t="s">
        <v>1078</v>
      </c>
    </row>
    <row r="189" spans="10:56" x14ac:dyDescent="0.25">
      <c r="J189" s="48"/>
      <c r="AY189" t="s">
        <v>522</v>
      </c>
      <c r="AZ189" t="s">
        <v>523</v>
      </c>
      <c r="BA189" t="s">
        <v>487</v>
      </c>
      <c r="BB189" t="s">
        <v>981</v>
      </c>
      <c r="BC189" t="s">
        <v>1081</v>
      </c>
    </row>
    <row r="190" spans="10:56" x14ac:dyDescent="0.25">
      <c r="J190" s="48"/>
      <c r="AY190" t="s">
        <v>524</v>
      </c>
      <c r="AZ190" t="s">
        <v>525</v>
      </c>
      <c r="BA190" t="s">
        <v>487</v>
      </c>
      <c r="BB190" t="s">
        <v>1028</v>
      </c>
      <c r="BC190" t="s">
        <v>1082</v>
      </c>
    </row>
    <row r="191" spans="10:56" x14ac:dyDescent="0.25">
      <c r="J191" s="48"/>
      <c r="AY191" t="s">
        <v>526</v>
      </c>
      <c r="AZ191" t="s">
        <v>527</v>
      </c>
      <c r="BA191" t="s">
        <v>487</v>
      </c>
      <c r="BB191" t="s">
        <v>989</v>
      </c>
      <c r="BC191" t="s">
        <v>1083</v>
      </c>
    </row>
    <row r="192" spans="10:56" x14ac:dyDescent="0.25">
      <c r="J192" s="48"/>
      <c r="AY192" t="s">
        <v>528</v>
      </c>
      <c r="AZ192" t="s">
        <v>529</v>
      </c>
      <c r="BA192" t="s">
        <v>487</v>
      </c>
      <c r="BB192" t="s">
        <v>1051</v>
      </c>
      <c r="BC192" t="s">
        <v>1052</v>
      </c>
      <c r="BD192" t="s">
        <v>1084</v>
      </c>
    </row>
    <row r="193" spans="10:56" x14ac:dyDescent="0.25">
      <c r="J193" s="48"/>
      <c r="AY193" t="s">
        <v>530</v>
      </c>
      <c r="AZ193" t="s">
        <v>531</v>
      </c>
      <c r="BA193" t="s">
        <v>487</v>
      </c>
      <c r="BB193" t="s">
        <v>981</v>
      </c>
      <c r="BC193" t="s">
        <v>1076</v>
      </c>
    </row>
    <row r="194" spans="10:56" x14ac:dyDescent="0.25">
      <c r="J194" s="48"/>
      <c r="AY194" t="s">
        <v>532</v>
      </c>
      <c r="AZ194" t="s">
        <v>533</v>
      </c>
      <c r="BA194" t="s">
        <v>487</v>
      </c>
      <c r="BB194" t="s">
        <v>981</v>
      </c>
      <c r="BC194" t="s">
        <v>992</v>
      </c>
      <c r="BD194" t="s">
        <v>992</v>
      </c>
    </row>
    <row r="195" spans="10:56" x14ac:dyDescent="0.25">
      <c r="J195" s="48"/>
      <c r="AY195" t="s">
        <v>534</v>
      </c>
      <c r="AZ195" t="s">
        <v>535</v>
      </c>
      <c r="BA195" t="s">
        <v>487</v>
      </c>
      <c r="BB195" t="s">
        <v>995</v>
      </c>
      <c r="BC195" t="s">
        <v>1077</v>
      </c>
    </row>
    <row r="196" spans="10:56" x14ac:dyDescent="0.25">
      <c r="AY196" t="s">
        <v>536</v>
      </c>
      <c r="AZ196" t="s">
        <v>537</v>
      </c>
      <c r="BA196" t="s">
        <v>487</v>
      </c>
      <c r="BB196" t="s">
        <v>1021</v>
      </c>
      <c r="BC196" t="s">
        <v>1021</v>
      </c>
      <c r="BD196" t="s">
        <v>1046</v>
      </c>
    </row>
    <row r="197" spans="10:56" x14ac:dyDescent="0.25">
      <c r="AY197" t="s">
        <v>538</v>
      </c>
      <c r="AZ197" t="s">
        <v>539</v>
      </c>
      <c r="BA197" t="s">
        <v>487</v>
      </c>
      <c r="BB197" t="s">
        <v>995</v>
      </c>
      <c r="BC197" t="s">
        <v>996</v>
      </c>
      <c r="BD197" t="s">
        <v>996</v>
      </c>
    </row>
    <row r="198" spans="10:56" x14ac:dyDescent="0.25">
      <c r="AY198" t="s">
        <v>540</v>
      </c>
      <c r="AZ198" t="s">
        <v>541</v>
      </c>
      <c r="BA198" t="s">
        <v>487</v>
      </c>
      <c r="BB198" t="s">
        <v>1028</v>
      </c>
      <c r="BC198" t="s">
        <v>1085</v>
      </c>
    </row>
    <row r="199" spans="10:56" x14ac:dyDescent="0.25">
      <c r="AY199" t="s">
        <v>542</v>
      </c>
      <c r="AZ199" t="s">
        <v>543</v>
      </c>
      <c r="BA199" t="s">
        <v>487</v>
      </c>
      <c r="BB199" t="s">
        <v>1028</v>
      </c>
      <c r="BC199" t="s">
        <v>1035</v>
      </c>
      <c r="BD199" t="s">
        <v>1036</v>
      </c>
    </row>
    <row r="200" spans="10:56" x14ac:dyDescent="0.25">
      <c r="AY200" t="s">
        <v>544</v>
      </c>
      <c r="AZ200" t="s">
        <v>545</v>
      </c>
      <c r="BA200" t="s">
        <v>487</v>
      </c>
      <c r="BB200" t="s">
        <v>1028</v>
      </c>
      <c r="BC200" t="s">
        <v>1086</v>
      </c>
    </row>
    <row r="201" spans="10:56" x14ac:dyDescent="0.25">
      <c r="AY201" t="s">
        <v>546</v>
      </c>
      <c r="AZ201" t="s">
        <v>547</v>
      </c>
      <c r="BA201" t="s">
        <v>487</v>
      </c>
      <c r="BB201" t="s">
        <v>1044</v>
      </c>
      <c r="BC201" t="s">
        <v>1087</v>
      </c>
    </row>
    <row r="202" spans="10:56" x14ac:dyDescent="0.25">
      <c r="AY202" t="s">
        <v>548</v>
      </c>
      <c r="AZ202" t="s">
        <v>549</v>
      </c>
      <c r="BA202" t="s">
        <v>487</v>
      </c>
      <c r="BB202" t="s">
        <v>1028</v>
      </c>
      <c r="BC202" t="s">
        <v>1088</v>
      </c>
    </row>
    <row r="203" spans="10:56" x14ac:dyDescent="0.25">
      <c r="AY203" t="s">
        <v>550</v>
      </c>
      <c r="AZ203" t="s">
        <v>551</v>
      </c>
      <c r="BA203" t="s">
        <v>487</v>
      </c>
      <c r="BB203" t="s">
        <v>981</v>
      </c>
      <c r="BC203" t="s">
        <v>1076</v>
      </c>
    </row>
    <row r="204" spans="10:56" x14ac:dyDescent="0.25">
      <c r="AY204" t="s">
        <v>552</v>
      </c>
      <c r="AZ204" t="s">
        <v>553</v>
      </c>
      <c r="BA204" t="s">
        <v>487</v>
      </c>
      <c r="BB204" t="s">
        <v>989</v>
      </c>
      <c r="BC204" t="s">
        <v>1057</v>
      </c>
    </row>
    <row r="205" spans="10:56" x14ac:dyDescent="0.25">
      <c r="AY205" t="s">
        <v>554</v>
      </c>
      <c r="AZ205" t="s">
        <v>555</v>
      </c>
      <c r="BA205" t="s">
        <v>487</v>
      </c>
      <c r="BB205" t="s">
        <v>1021</v>
      </c>
      <c r="BC205" t="s">
        <v>1056</v>
      </c>
    </row>
    <row r="206" spans="10:56" x14ac:dyDescent="0.25">
      <c r="AY206" t="s">
        <v>556</v>
      </c>
      <c r="AZ206" t="s">
        <v>557</v>
      </c>
      <c r="BA206" t="s">
        <v>487</v>
      </c>
      <c r="BB206" t="s">
        <v>986</v>
      </c>
      <c r="BC206" t="s">
        <v>1089</v>
      </c>
    </row>
    <row r="207" spans="10:56" x14ac:dyDescent="0.25">
      <c r="AY207" t="s">
        <v>558</v>
      </c>
      <c r="AZ207" t="s">
        <v>559</v>
      </c>
      <c r="BA207" t="s">
        <v>487</v>
      </c>
      <c r="BB207" t="s">
        <v>1006</v>
      </c>
      <c r="BC207" t="s">
        <v>1006</v>
      </c>
      <c r="BD207" t="s">
        <v>1007</v>
      </c>
    </row>
    <row r="208" spans="10:56" x14ac:dyDescent="0.25">
      <c r="AY208" t="s">
        <v>560</v>
      </c>
      <c r="AZ208" t="s">
        <v>561</v>
      </c>
      <c r="BA208" t="s">
        <v>487</v>
      </c>
      <c r="BB208" t="s">
        <v>1028</v>
      </c>
      <c r="BC208" t="s">
        <v>1078</v>
      </c>
    </row>
    <row r="209" spans="51:56" x14ac:dyDescent="0.25">
      <c r="AY209" t="s">
        <v>562</v>
      </c>
      <c r="AZ209" t="s">
        <v>563</v>
      </c>
      <c r="BA209" t="s">
        <v>564</v>
      </c>
      <c r="BB209" t="s">
        <v>995</v>
      </c>
      <c r="BC209" t="s">
        <v>1002</v>
      </c>
      <c r="BD209" t="s">
        <v>1002</v>
      </c>
    </row>
    <row r="210" spans="51:56" x14ac:dyDescent="0.25">
      <c r="AY210" t="s">
        <v>565</v>
      </c>
      <c r="AZ210" t="s">
        <v>566</v>
      </c>
      <c r="BA210" t="s">
        <v>564</v>
      </c>
      <c r="BB210" t="s">
        <v>995</v>
      </c>
      <c r="BC210" t="s">
        <v>1002</v>
      </c>
      <c r="BD210" t="s">
        <v>1002</v>
      </c>
    </row>
    <row r="211" spans="51:56" x14ac:dyDescent="0.25">
      <c r="AY211" t="s">
        <v>567</v>
      </c>
      <c r="AZ211" t="s">
        <v>568</v>
      </c>
      <c r="BA211" t="s">
        <v>564</v>
      </c>
      <c r="BB211" t="s">
        <v>989</v>
      </c>
      <c r="BC211" t="s">
        <v>990</v>
      </c>
      <c r="BD211" t="s">
        <v>1008</v>
      </c>
    </row>
    <row r="212" spans="51:56" x14ac:dyDescent="0.25">
      <c r="AY212" t="s">
        <v>569</v>
      </c>
      <c r="AZ212" t="s">
        <v>570</v>
      </c>
      <c r="BA212" t="s">
        <v>564</v>
      </c>
      <c r="BB212" t="s">
        <v>1021</v>
      </c>
      <c r="BC212" t="s">
        <v>1021</v>
      </c>
      <c r="BD212" t="s">
        <v>1022</v>
      </c>
    </row>
    <row r="213" spans="51:56" x14ac:dyDescent="0.25">
      <c r="AY213" t="s">
        <v>571</v>
      </c>
      <c r="AZ213" t="s">
        <v>572</v>
      </c>
      <c r="BA213" t="s">
        <v>564</v>
      </c>
      <c r="BB213" t="s">
        <v>986</v>
      </c>
      <c r="BC213" t="s">
        <v>1024</v>
      </c>
      <c r="BD213" t="s">
        <v>1025</v>
      </c>
    </row>
    <row r="214" spans="51:56" x14ac:dyDescent="0.25">
      <c r="AY214" t="s">
        <v>573</v>
      </c>
      <c r="AZ214" t="s">
        <v>574</v>
      </c>
      <c r="BA214" t="s">
        <v>564</v>
      </c>
      <c r="BB214" t="s">
        <v>995</v>
      </c>
      <c r="BC214" t="s">
        <v>1002</v>
      </c>
      <c r="BD214" t="s">
        <v>1002</v>
      </c>
    </row>
    <row r="215" spans="51:56" x14ac:dyDescent="0.25">
      <c r="AY215" t="s">
        <v>575</v>
      </c>
      <c r="AZ215" t="s">
        <v>576</v>
      </c>
      <c r="BA215" t="s">
        <v>564</v>
      </c>
      <c r="BB215" t="s">
        <v>1006</v>
      </c>
      <c r="BC215" t="s">
        <v>1006</v>
      </c>
      <c r="BD215" t="s">
        <v>1007</v>
      </c>
    </row>
    <row r="216" spans="51:56" x14ac:dyDescent="0.25">
      <c r="AY216" t="s">
        <v>577</v>
      </c>
      <c r="AZ216" t="s">
        <v>578</v>
      </c>
      <c r="BA216" t="s">
        <v>564</v>
      </c>
      <c r="BB216" t="s">
        <v>1021</v>
      </c>
      <c r="BC216" t="s">
        <v>1090</v>
      </c>
    </row>
    <row r="217" spans="51:56" x14ac:dyDescent="0.25">
      <c r="AY217" t="s">
        <v>579</v>
      </c>
      <c r="AZ217" t="s">
        <v>580</v>
      </c>
      <c r="BA217" t="s">
        <v>564</v>
      </c>
      <c r="BB217" t="s">
        <v>1028</v>
      </c>
      <c r="BC217" t="s">
        <v>1031</v>
      </c>
      <c r="BD217" t="s">
        <v>1091</v>
      </c>
    </row>
    <row r="218" spans="51:56" x14ac:dyDescent="0.25">
      <c r="AY218" t="s">
        <v>581</v>
      </c>
      <c r="AZ218" t="s">
        <v>582</v>
      </c>
      <c r="BA218" t="s">
        <v>564</v>
      </c>
      <c r="BB218" t="s">
        <v>1028</v>
      </c>
      <c r="BC218" t="s">
        <v>1031</v>
      </c>
      <c r="BD218" t="s">
        <v>1091</v>
      </c>
    </row>
    <row r="219" spans="51:56" x14ac:dyDescent="0.25">
      <c r="AY219" t="s">
        <v>583</v>
      </c>
      <c r="AZ219" t="s">
        <v>584</v>
      </c>
      <c r="BA219" t="s">
        <v>564</v>
      </c>
      <c r="BB219" t="s">
        <v>1028</v>
      </c>
      <c r="BC219" t="s">
        <v>1029</v>
      </c>
      <c r="BD219" t="s">
        <v>1092</v>
      </c>
    </row>
    <row r="220" spans="51:56" x14ac:dyDescent="0.25">
      <c r="AY220" t="s">
        <v>585</v>
      </c>
      <c r="AZ220" t="s">
        <v>384</v>
      </c>
      <c r="BA220" t="s">
        <v>564</v>
      </c>
      <c r="BB220" t="s">
        <v>1028</v>
      </c>
      <c r="BC220" t="s">
        <v>1093</v>
      </c>
    </row>
    <row r="221" spans="51:56" x14ac:dyDescent="0.25">
      <c r="AY221" t="s">
        <v>586</v>
      </c>
      <c r="AZ221" t="s">
        <v>587</v>
      </c>
      <c r="BA221" t="s">
        <v>564</v>
      </c>
      <c r="BB221" t="s">
        <v>995</v>
      </c>
      <c r="BC221" t="s">
        <v>1094</v>
      </c>
    </row>
    <row r="222" spans="51:56" x14ac:dyDescent="0.25">
      <c r="AY222" t="s">
        <v>588</v>
      </c>
      <c r="AZ222" t="s">
        <v>589</v>
      </c>
      <c r="BA222" t="s">
        <v>564</v>
      </c>
      <c r="BB222" t="s">
        <v>995</v>
      </c>
      <c r="BC222" t="s">
        <v>1041</v>
      </c>
      <c r="BD222" t="s">
        <v>1041</v>
      </c>
    </row>
    <row r="223" spans="51:56" x14ac:dyDescent="0.25">
      <c r="AY223" t="s">
        <v>590</v>
      </c>
      <c r="AZ223" t="s">
        <v>591</v>
      </c>
      <c r="BA223" t="s">
        <v>564</v>
      </c>
      <c r="BB223" t="s">
        <v>1021</v>
      </c>
      <c r="BC223" t="s">
        <v>1021</v>
      </c>
      <c r="BD223" t="s">
        <v>1022</v>
      </c>
    </row>
    <row r="224" spans="51:56" x14ac:dyDescent="0.25">
      <c r="AY224" t="s">
        <v>592</v>
      </c>
      <c r="AZ224" t="s">
        <v>593</v>
      </c>
      <c r="BA224" t="s">
        <v>564</v>
      </c>
      <c r="BB224" t="s">
        <v>986</v>
      </c>
      <c r="BC224" t="s">
        <v>1024</v>
      </c>
      <c r="BD224" t="s">
        <v>1025</v>
      </c>
    </row>
    <row r="225" spans="51:56" x14ac:dyDescent="0.25">
      <c r="AY225" t="s">
        <v>594</v>
      </c>
      <c r="AZ225" t="s">
        <v>595</v>
      </c>
      <c r="BA225" t="s">
        <v>564</v>
      </c>
      <c r="BB225" t="s">
        <v>997</v>
      </c>
      <c r="BC225" t="s">
        <v>1070</v>
      </c>
    </row>
    <row r="226" spans="51:56" x14ac:dyDescent="0.25">
      <c r="AY226" t="s">
        <v>596</v>
      </c>
      <c r="AZ226" t="s">
        <v>597</v>
      </c>
      <c r="BA226" t="s">
        <v>564</v>
      </c>
      <c r="BB226" t="s">
        <v>1021</v>
      </c>
      <c r="BC226" t="s">
        <v>1095</v>
      </c>
    </row>
    <row r="227" spans="51:56" x14ac:dyDescent="0.25">
      <c r="AY227" t="s">
        <v>598</v>
      </c>
      <c r="AZ227" t="s">
        <v>599</v>
      </c>
      <c r="BA227" t="s">
        <v>564</v>
      </c>
      <c r="BB227" t="s">
        <v>1051</v>
      </c>
      <c r="BC227" t="s">
        <v>1052</v>
      </c>
      <c r="BD227" t="s">
        <v>1053</v>
      </c>
    </row>
    <row r="228" spans="51:56" x14ac:dyDescent="0.25">
      <c r="AY228" t="s">
        <v>600</v>
      </c>
      <c r="AZ228" t="s">
        <v>601</v>
      </c>
      <c r="BA228" t="s">
        <v>564</v>
      </c>
      <c r="BB228" t="s">
        <v>1051</v>
      </c>
      <c r="BC228" t="s">
        <v>1052</v>
      </c>
      <c r="BD228" t="s">
        <v>1096</v>
      </c>
    </row>
    <row r="229" spans="51:56" x14ac:dyDescent="0.25">
      <c r="AY229" t="s">
        <v>602</v>
      </c>
      <c r="AZ229" t="s">
        <v>603</v>
      </c>
      <c r="BA229" t="s">
        <v>564</v>
      </c>
      <c r="BB229" t="s">
        <v>1044</v>
      </c>
      <c r="BC229" t="s">
        <v>1044</v>
      </c>
      <c r="BD229" t="s">
        <v>1045</v>
      </c>
    </row>
    <row r="230" spans="51:56" x14ac:dyDescent="0.25">
      <c r="AY230" t="s">
        <v>604</v>
      </c>
      <c r="AZ230" t="s">
        <v>605</v>
      </c>
      <c r="BA230" t="s">
        <v>564</v>
      </c>
      <c r="BB230" t="s">
        <v>981</v>
      </c>
      <c r="BC230" t="s">
        <v>984</v>
      </c>
      <c r="BD230" t="s">
        <v>1016</v>
      </c>
    </row>
    <row r="231" spans="51:56" x14ac:dyDescent="0.25">
      <c r="AY231" t="s">
        <v>606</v>
      </c>
      <c r="AZ231" t="s">
        <v>607</v>
      </c>
      <c r="BA231" t="s">
        <v>564</v>
      </c>
      <c r="BB231" t="s">
        <v>1044</v>
      </c>
      <c r="BC231" t="s">
        <v>1044</v>
      </c>
      <c r="BD231" t="s">
        <v>1045</v>
      </c>
    </row>
    <row r="232" spans="51:56" x14ac:dyDescent="0.25">
      <c r="AY232" t="s">
        <v>608</v>
      </c>
      <c r="AZ232" t="s">
        <v>609</v>
      </c>
      <c r="BA232" t="s">
        <v>564</v>
      </c>
      <c r="BB232" t="s">
        <v>989</v>
      </c>
      <c r="BC232" t="s">
        <v>1014</v>
      </c>
      <c r="BD232" t="s">
        <v>1015</v>
      </c>
    </row>
    <row r="233" spans="51:56" x14ac:dyDescent="0.25">
      <c r="AY233" t="s">
        <v>610</v>
      </c>
      <c r="AZ233" t="s">
        <v>611</v>
      </c>
      <c r="BA233" t="s">
        <v>564</v>
      </c>
      <c r="BB233" t="s">
        <v>995</v>
      </c>
      <c r="BC233" t="s">
        <v>1002</v>
      </c>
      <c r="BD233" t="s">
        <v>1002</v>
      </c>
    </row>
    <row r="234" spans="51:56" x14ac:dyDescent="0.25">
      <c r="AY234" t="s">
        <v>612</v>
      </c>
      <c r="AZ234" t="s">
        <v>613</v>
      </c>
      <c r="BA234" t="s">
        <v>564</v>
      </c>
      <c r="BB234" t="s">
        <v>1028</v>
      </c>
      <c r="BC234" t="s">
        <v>1073</v>
      </c>
    </row>
    <row r="235" spans="51:56" x14ac:dyDescent="0.25">
      <c r="AY235" t="s">
        <v>614</v>
      </c>
      <c r="AZ235" t="s">
        <v>615</v>
      </c>
      <c r="BA235" t="s">
        <v>564</v>
      </c>
      <c r="BB235" t="s">
        <v>981</v>
      </c>
      <c r="BC235" t="s">
        <v>1076</v>
      </c>
    </row>
    <row r="236" spans="51:56" x14ac:dyDescent="0.25">
      <c r="AY236" t="s">
        <v>616</v>
      </c>
      <c r="AZ236" t="s">
        <v>617</v>
      </c>
      <c r="BA236" t="s">
        <v>564</v>
      </c>
      <c r="BB236" t="s">
        <v>1028</v>
      </c>
      <c r="BC236" t="s">
        <v>1029</v>
      </c>
      <c r="BD236" t="s">
        <v>1030</v>
      </c>
    </row>
    <row r="237" spans="51:56" x14ac:dyDescent="0.25">
      <c r="AY237" t="s">
        <v>618</v>
      </c>
      <c r="AZ237" t="s">
        <v>619</v>
      </c>
      <c r="BA237" t="s">
        <v>564</v>
      </c>
      <c r="BB237" t="s">
        <v>1021</v>
      </c>
      <c r="BC237" t="s">
        <v>1021</v>
      </c>
      <c r="BD237" t="s">
        <v>1022</v>
      </c>
    </row>
    <row r="238" spans="51:56" x14ac:dyDescent="0.25">
      <c r="AY238" t="s">
        <v>620</v>
      </c>
      <c r="AZ238" t="s">
        <v>621</v>
      </c>
      <c r="BA238" t="s">
        <v>564</v>
      </c>
      <c r="BB238" t="s">
        <v>1021</v>
      </c>
      <c r="BC238" t="s">
        <v>1021</v>
      </c>
      <c r="BD238" t="s">
        <v>1097</v>
      </c>
    </row>
    <row r="239" spans="51:56" x14ac:dyDescent="0.25">
      <c r="AY239" t="s">
        <v>622</v>
      </c>
      <c r="AZ239" t="s">
        <v>623</v>
      </c>
      <c r="BA239" t="s">
        <v>564</v>
      </c>
      <c r="BB239" t="s">
        <v>1003</v>
      </c>
      <c r="BC239" t="s">
        <v>1010</v>
      </c>
      <c r="BD239" t="s">
        <v>1037</v>
      </c>
    </row>
    <row r="240" spans="51:56" x14ac:dyDescent="0.25">
      <c r="AY240" t="s">
        <v>624</v>
      </c>
      <c r="AZ240" t="s">
        <v>625</v>
      </c>
      <c r="BA240" t="s">
        <v>564</v>
      </c>
      <c r="BB240" t="s">
        <v>995</v>
      </c>
      <c r="BC240" t="s">
        <v>1002</v>
      </c>
      <c r="BD240" t="s">
        <v>1002</v>
      </c>
    </row>
    <row r="241" spans="51:56" x14ac:dyDescent="0.25">
      <c r="AY241" t="s">
        <v>626</v>
      </c>
      <c r="AZ241" t="s">
        <v>627</v>
      </c>
      <c r="BA241" t="s">
        <v>564</v>
      </c>
      <c r="BB241" t="s">
        <v>995</v>
      </c>
      <c r="BC241" t="s">
        <v>1002</v>
      </c>
      <c r="BD241" t="s">
        <v>1002</v>
      </c>
    </row>
    <row r="242" spans="51:56" x14ac:dyDescent="0.25">
      <c r="AY242" t="s">
        <v>628</v>
      </c>
      <c r="AZ242" t="s">
        <v>629</v>
      </c>
      <c r="BA242" t="s">
        <v>564</v>
      </c>
      <c r="BB242" t="s">
        <v>997</v>
      </c>
      <c r="BC242" t="s">
        <v>1000</v>
      </c>
      <c r="BD242" t="s">
        <v>1001</v>
      </c>
    </row>
    <row r="243" spans="51:56" x14ac:dyDescent="0.25">
      <c r="AY243" t="s">
        <v>630</v>
      </c>
      <c r="AZ243" t="s">
        <v>631</v>
      </c>
      <c r="BA243" t="s">
        <v>564</v>
      </c>
      <c r="BB243" t="s">
        <v>1028</v>
      </c>
      <c r="BC243" t="s">
        <v>1031</v>
      </c>
      <c r="BD243" t="s">
        <v>1091</v>
      </c>
    </row>
    <row r="244" spans="51:56" x14ac:dyDescent="0.25">
      <c r="AY244" t="s">
        <v>195</v>
      </c>
      <c r="AZ244" t="s">
        <v>175</v>
      </c>
      <c r="BA244" t="s">
        <v>632</v>
      </c>
      <c r="BB244" t="s">
        <v>989</v>
      </c>
      <c r="BC244" t="s">
        <v>993</v>
      </c>
      <c r="BD244" t="s">
        <v>994</v>
      </c>
    </row>
    <row r="245" spans="51:56" x14ac:dyDescent="0.25">
      <c r="AY245" t="s">
        <v>199</v>
      </c>
      <c r="AZ245" t="s">
        <v>633</v>
      </c>
      <c r="BA245" t="s">
        <v>632</v>
      </c>
      <c r="BB245" t="s">
        <v>986</v>
      </c>
      <c r="BC245" t="s">
        <v>1024</v>
      </c>
      <c r="BD245" t="s">
        <v>1034</v>
      </c>
    </row>
    <row r="246" spans="51:56" x14ac:dyDescent="0.25">
      <c r="AY246" t="s">
        <v>196</v>
      </c>
      <c r="AZ246" t="s">
        <v>174</v>
      </c>
      <c r="BA246" t="s">
        <v>632</v>
      </c>
      <c r="BB246" t="s">
        <v>989</v>
      </c>
      <c r="BC246" t="s">
        <v>1019</v>
      </c>
      <c r="BD246" t="s">
        <v>1098</v>
      </c>
    </row>
    <row r="247" spans="51:56" x14ac:dyDescent="0.25">
      <c r="AY247" t="s">
        <v>634</v>
      </c>
      <c r="AZ247" t="s">
        <v>635</v>
      </c>
      <c r="BA247" t="s">
        <v>632</v>
      </c>
      <c r="BB247" t="s">
        <v>986</v>
      </c>
      <c r="BC247" t="s">
        <v>1024</v>
      </c>
      <c r="BD247" t="s">
        <v>1034</v>
      </c>
    </row>
    <row r="248" spans="51:56" x14ac:dyDescent="0.25">
      <c r="AY248" t="s">
        <v>197</v>
      </c>
      <c r="AZ248" t="s">
        <v>198</v>
      </c>
      <c r="BA248" t="s">
        <v>632</v>
      </c>
      <c r="BB248" t="s">
        <v>981</v>
      </c>
      <c r="BC248" t="s">
        <v>982</v>
      </c>
      <c r="BD248" t="s">
        <v>1099</v>
      </c>
    </row>
    <row r="249" spans="51:56" x14ac:dyDescent="0.25">
      <c r="AY249" t="s">
        <v>636</v>
      </c>
      <c r="AZ249" t="s">
        <v>637</v>
      </c>
      <c r="BA249" t="s">
        <v>632</v>
      </c>
      <c r="BB249" t="s">
        <v>995</v>
      </c>
      <c r="BC249" t="s">
        <v>1002</v>
      </c>
      <c r="BD249" t="s">
        <v>1002</v>
      </c>
    </row>
    <row r="250" spans="51:56" x14ac:dyDescent="0.25">
      <c r="AY250" t="s">
        <v>638</v>
      </c>
      <c r="AZ250" t="s">
        <v>639</v>
      </c>
      <c r="BA250" t="s">
        <v>632</v>
      </c>
      <c r="BB250" t="s">
        <v>986</v>
      </c>
      <c r="BC250" t="s">
        <v>987</v>
      </c>
      <c r="BD250" t="s">
        <v>1023</v>
      </c>
    </row>
    <row r="251" spans="51:56" x14ac:dyDescent="0.25">
      <c r="AY251" t="s">
        <v>200</v>
      </c>
      <c r="AZ251" t="s">
        <v>201</v>
      </c>
      <c r="BA251" t="s">
        <v>632</v>
      </c>
      <c r="BB251" t="s">
        <v>1028</v>
      </c>
      <c r="BC251" t="s">
        <v>1031</v>
      </c>
      <c r="BD251" t="s">
        <v>1039</v>
      </c>
    </row>
    <row r="252" spans="51:56" x14ac:dyDescent="0.25">
      <c r="AY252" t="s">
        <v>640</v>
      </c>
      <c r="AZ252" t="s">
        <v>641</v>
      </c>
      <c r="BA252" t="s">
        <v>632</v>
      </c>
      <c r="BB252" t="s">
        <v>981</v>
      </c>
      <c r="BC252" t="s">
        <v>992</v>
      </c>
      <c r="BD252" t="s">
        <v>992</v>
      </c>
    </row>
    <row r="253" spans="51:56" x14ac:dyDescent="0.25">
      <c r="AY253" t="s">
        <v>642</v>
      </c>
      <c r="AZ253" t="s">
        <v>643</v>
      </c>
      <c r="BA253" t="s">
        <v>632</v>
      </c>
      <c r="BB253" t="s">
        <v>1044</v>
      </c>
      <c r="BC253" t="s">
        <v>1044</v>
      </c>
      <c r="BD253" t="s">
        <v>1055</v>
      </c>
    </row>
    <row r="254" spans="51:56" x14ac:dyDescent="0.25">
      <c r="AY254" t="s">
        <v>644</v>
      </c>
      <c r="AZ254" t="s">
        <v>645</v>
      </c>
      <c r="BA254" t="s">
        <v>632</v>
      </c>
      <c r="BB254" t="s">
        <v>989</v>
      </c>
      <c r="BC254" t="s">
        <v>993</v>
      </c>
      <c r="BD254" t="s">
        <v>1059</v>
      </c>
    </row>
    <row r="255" spans="51:56" x14ac:dyDescent="0.25">
      <c r="AY255" t="s">
        <v>646</v>
      </c>
      <c r="AZ255" t="s">
        <v>647</v>
      </c>
      <c r="BA255" t="s">
        <v>632</v>
      </c>
      <c r="BB255" t="s">
        <v>986</v>
      </c>
      <c r="BC255" t="s">
        <v>1024</v>
      </c>
      <c r="BD255" t="s">
        <v>1034</v>
      </c>
    </row>
    <row r="256" spans="51:56" x14ac:dyDescent="0.25">
      <c r="AY256" t="s">
        <v>648</v>
      </c>
      <c r="AZ256" t="s">
        <v>649</v>
      </c>
      <c r="BA256" t="s">
        <v>632</v>
      </c>
      <c r="BB256" t="s">
        <v>997</v>
      </c>
      <c r="BC256" t="s">
        <v>1000</v>
      </c>
      <c r="BD256" t="s">
        <v>1001</v>
      </c>
    </row>
    <row r="257" spans="51:56" x14ac:dyDescent="0.25">
      <c r="AY257" t="s">
        <v>650</v>
      </c>
      <c r="AZ257" t="s">
        <v>651</v>
      </c>
      <c r="BA257" t="s">
        <v>632</v>
      </c>
      <c r="BB257" t="s">
        <v>1028</v>
      </c>
      <c r="BC257" t="s">
        <v>1031</v>
      </c>
      <c r="BD257" t="s">
        <v>1050</v>
      </c>
    </row>
    <row r="258" spans="51:56" x14ac:dyDescent="0.25">
      <c r="AY258" t="s">
        <v>652</v>
      </c>
      <c r="AZ258" t="s">
        <v>653</v>
      </c>
      <c r="BA258" t="s">
        <v>632</v>
      </c>
      <c r="BB258" t="s">
        <v>989</v>
      </c>
      <c r="BC258" t="s">
        <v>993</v>
      </c>
      <c r="BD258" t="s">
        <v>994</v>
      </c>
    </row>
    <row r="259" spans="51:56" x14ac:dyDescent="0.25">
      <c r="AY259" t="s">
        <v>654</v>
      </c>
      <c r="AZ259" t="s">
        <v>655</v>
      </c>
      <c r="BA259" t="s">
        <v>632</v>
      </c>
      <c r="BB259" t="s">
        <v>997</v>
      </c>
      <c r="BC259" t="s">
        <v>1000</v>
      </c>
      <c r="BD259" t="s">
        <v>1001</v>
      </c>
    </row>
    <row r="260" spans="51:56" x14ac:dyDescent="0.25">
      <c r="AY260" t="s">
        <v>656</v>
      </c>
      <c r="AZ260" t="s">
        <v>657</v>
      </c>
      <c r="BA260" t="s">
        <v>632</v>
      </c>
      <c r="BB260" t="s">
        <v>995</v>
      </c>
      <c r="BC260" t="s">
        <v>1041</v>
      </c>
      <c r="BD260" t="s">
        <v>1041</v>
      </c>
    </row>
    <row r="261" spans="51:56" x14ac:dyDescent="0.25">
      <c r="AY261" t="s">
        <v>658</v>
      </c>
      <c r="AZ261" t="s">
        <v>659</v>
      </c>
      <c r="BA261" t="s">
        <v>632</v>
      </c>
      <c r="BB261" t="s">
        <v>1028</v>
      </c>
      <c r="BC261" t="s">
        <v>1031</v>
      </c>
      <c r="BD261" t="s">
        <v>1050</v>
      </c>
    </row>
    <row r="262" spans="51:56" x14ac:dyDescent="0.25">
      <c r="AY262" t="s">
        <v>660</v>
      </c>
      <c r="AZ262" t="s">
        <v>661</v>
      </c>
      <c r="BA262" t="s">
        <v>632</v>
      </c>
      <c r="BB262" t="s">
        <v>986</v>
      </c>
      <c r="BC262" t="s">
        <v>1024</v>
      </c>
      <c r="BD262" t="s">
        <v>1025</v>
      </c>
    </row>
    <row r="263" spans="51:56" x14ac:dyDescent="0.25">
      <c r="AY263" t="s">
        <v>662</v>
      </c>
      <c r="AZ263" t="s">
        <v>663</v>
      </c>
      <c r="BA263" t="s">
        <v>632</v>
      </c>
      <c r="BB263" t="s">
        <v>995</v>
      </c>
      <c r="BC263" t="s">
        <v>1002</v>
      </c>
      <c r="BD263" t="s">
        <v>1002</v>
      </c>
    </row>
    <row r="264" spans="51:56" x14ac:dyDescent="0.25">
      <c r="AY264" t="s">
        <v>664</v>
      </c>
      <c r="AZ264" t="s">
        <v>665</v>
      </c>
      <c r="BA264" t="s">
        <v>632</v>
      </c>
      <c r="BB264" t="s">
        <v>989</v>
      </c>
      <c r="BC264" t="s">
        <v>990</v>
      </c>
      <c r="BD264" t="s">
        <v>991</v>
      </c>
    </row>
    <row r="265" spans="51:56" x14ac:dyDescent="0.25">
      <c r="AY265" t="s">
        <v>666</v>
      </c>
      <c r="AZ265" t="s">
        <v>667</v>
      </c>
      <c r="BA265" t="s">
        <v>632</v>
      </c>
      <c r="BB265" t="s">
        <v>1028</v>
      </c>
      <c r="BC265" t="s">
        <v>1031</v>
      </c>
      <c r="BD265" t="s">
        <v>1033</v>
      </c>
    </row>
    <row r="266" spans="51:56" x14ac:dyDescent="0.25">
      <c r="AY266" t="s">
        <v>668</v>
      </c>
      <c r="AZ266" t="s">
        <v>669</v>
      </c>
      <c r="BA266" t="s">
        <v>632</v>
      </c>
      <c r="BB266" t="s">
        <v>1028</v>
      </c>
      <c r="BC266" t="s">
        <v>1031</v>
      </c>
      <c r="BD266" t="s">
        <v>1100</v>
      </c>
    </row>
    <row r="267" spans="51:56" x14ac:dyDescent="0.25">
      <c r="AY267" t="s">
        <v>670</v>
      </c>
      <c r="AZ267" t="s">
        <v>671</v>
      </c>
      <c r="BA267" t="s">
        <v>632</v>
      </c>
      <c r="BB267" t="s">
        <v>1028</v>
      </c>
      <c r="BC267" t="s">
        <v>1031</v>
      </c>
      <c r="BD267" t="s">
        <v>1039</v>
      </c>
    </row>
    <row r="268" spans="51:56" x14ac:dyDescent="0.25">
      <c r="AY268" t="s">
        <v>672</v>
      </c>
      <c r="AZ268" t="s">
        <v>673</v>
      </c>
      <c r="BA268" t="s">
        <v>632</v>
      </c>
      <c r="BB268" t="s">
        <v>989</v>
      </c>
      <c r="BC268" t="s">
        <v>1014</v>
      </c>
      <c r="BD268" t="s">
        <v>1015</v>
      </c>
    </row>
    <row r="269" spans="51:56" x14ac:dyDescent="0.25">
      <c r="AY269" t="s">
        <v>674</v>
      </c>
      <c r="AZ269" t="s">
        <v>675</v>
      </c>
      <c r="BA269" t="s">
        <v>632</v>
      </c>
      <c r="BB269" t="s">
        <v>981</v>
      </c>
      <c r="BC269" t="s">
        <v>984</v>
      </c>
      <c r="BD269" t="s">
        <v>985</v>
      </c>
    </row>
    <row r="270" spans="51:56" x14ac:dyDescent="0.25">
      <c r="AY270" t="s">
        <v>676</v>
      </c>
      <c r="AZ270" t="s">
        <v>677</v>
      </c>
      <c r="BA270" t="s">
        <v>632</v>
      </c>
      <c r="BB270" t="s">
        <v>1028</v>
      </c>
      <c r="BC270" t="s">
        <v>1035</v>
      </c>
      <c r="BD270" t="s">
        <v>1036</v>
      </c>
    </row>
    <row r="271" spans="51:56" x14ac:dyDescent="0.25">
      <c r="AY271" t="s">
        <v>678</v>
      </c>
      <c r="AZ271" t="s">
        <v>679</v>
      </c>
      <c r="BA271" t="s">
        <v>632</v>
      </c>
      <c r="BB271" t="s">
        <v>1003</v>
      </c>
      <c r="BC271" t="s">
        <v>1004</v>
      </c>
      <c r="BD271" t="s">
        <v>1043</v>
      </c>
    </row>
    <row r="272" spans="51:56" x14ac:dyDescent="0.25">
      <c r="AY272" t="s">
        <v>680</v>
      </c>
      <c r="AZ272" t="s">
        <v>681</v>
      </c>
      <c r="BA272" t="s">
        <v>632</v>
      </c>
      <c r="BB272" t="s">
        <v>995</v>
      </c>
      <c r="BC272" t="s">
        <v>1041</v>
      </c>
      <c r="BD272" t="s">
        <v>1041</v>
      </c>
    </row>
    <row r="273" spans="51:56" x14ac:dyDescent="0.25">
      <c r="AY273" t="s">
        <v>682</v>
      </c>
      <c r="AZ273" t="s">
        <v>683</v>
      </c>
      <c r="BA273" t="s">
        <v>632</v>
      </c>
      <c r="BB273" t="s">
        <v>995</v>
      </c>
      <c r="BC273" t="s">
        <v>1041</v>
      </c>
      <c r="BD273" t="s">
        <v>1041</v>
      </c>
    </row>
    <row r="274" spans="51:56" x14ac:dyDescent="0.25">
      <c r="AY274" t="s">
        <v>684</v>
      </c>
      <c r="AZ274" t="s">
        <v>685</v>
      </c>
      <c r="BA274" t="s">
        <v>632</v>
      </c>
      <c r="BB274" t="s">
        <v>1003</v>
      </c>
      <c r="BC274" t="s">
        <v>1012</v>
      </c>
      <c r="BD274" t="s">
        <v>1012</v>
      </c>
    </row>
    <row r="275" spans="51:56" x14ac:dyDescent="0.25">
      <c r="AY275" t="s">
        <v>686</v>
      </c>
      <c r="AZ275" t="s">
        <v>687</v>
      </c>
      <c r="BA275" t="s">
        <v>632</v>
      </c>
      <c r="BB275" t="s">
        <v>995</v>
      </c>
      <c r="BC275" t="s">
        <v>996</v>
      </c>
      <c r="BD275" t="s">
        <v>1040</v>
      </c>
    </row>
    <row r="276" spans="51:56" x14ac:dyDescent="0.25">
      <c r="AY276" t="s">
        <v>688</v>
      </c>
      <c r="AZ276" t="s">
        <v>689</v>
      </c>
      <c r="BA276" t="s">
        <v>632</v>
      </c>
      <c r="BB276" t="s">
        <v>997</v>
      </c>
      <c r="BC276" t="s">
        <v>1000</v>
      </c>
      <c r="BD276" t="s">
        <v>1001</v>
      </c>
    </row>
    <row r="277" spans="51:56" x14ac:dyDescent="0.25">
      <c r="AY277" t="s">
        <v>690</v>
      </c>
      <c r="AZ277" t="s">
        <v>691</v>
      </c>
      <c r="BA277" t="s">
        <v>632</v>
      </c>
      <c r="BB277" t="s">
        <v>997</v>
      </c>
      <c r="BC277" t="s">
        <v>1000</v>
      </c>
      <c r="BD277" t="s">
        <v>1001</v>
      </c>
    </row>
    <row r="278" spans="51:56" x14ac:dyDescent="0.25">
      <c r="AY278" t="s">
        <v>692</v>
      </c>
      <c r="AZ278" t="s">
        <v>693</v>
      </c>
      <c r="BA278" t="s">
        <v>632</v>
      </c>
      <c r="BB278" t="s">
        <v>981</v>
      </c>
      <c r="BC278" t="s">
        <v>982</v>
      </c>
      <c r="BD278" t="s">
        <v>1099</v>
      </c>
    </row>
    <row r="279" spans="51:56" x14ac:dyDescent="0.25">
      <c r="AY279" t="s">
        <v>694</v>
      </c>
      <c r="AZ279" t="s">
        <v>695</v>
      </c>
      <c r="BA279" t="s">
        <v>632</v>
      </c>
      <c r="BB279" t="s">
        <v>1028</v>
      </c>
      <c r="BC279" t="s">
        <v>1031</v>
      </c>
      <c r="BD279" t="s">
        <v>1039</v>
      </c>
    </row>
    <row r="280" spans="51:56" x14ac:dyDescent="0.25">
      <c r="AY280" t="s">
        <v>696</v>
      </c>
      <c r="AZ280" t="s">
        <v>697</v>
      </c>
      <c r="BA280" t="s">
        <v>632</v>
      </c>
      <c r="BB280" t="s">
        <v>981</v>
      </c>
      <c r="BC280" t="s">
        <v>982</v>
      </c>
      <c r="BD280" t="s">
        <v>983</v>
      </c>
    </row>
    <row r="281" spans="51:56" x14ac:dyDescent="0.25">
      <c r="AY281" t="s">
        <v>698</v>
      </c>
      <c r="AZ281" t="s">
        <v>699</v>
      </c>
      <c r="BA281" t="s">
        <v>632</v>
      </c>
      <c r="BB281" t="s">
        <v>981</v>
      </c>
      <c r="BC281" t="s">
        <v>992</v>
      </c>
      <c r="BD281" t="s">
        <v>992</v>
      </c>
    </row>
    <row r="282" spans="51:56" x14ac:dyDescent="0.25">
      <c r="AY282" t="s">
        <v>700</v>
      </c>
      <c r="AZ282" t="s">
        <v>701</v>
      </c>
      <c r="BA282" t="s">
        <v>632</v>
      </c>
      <c r="BB282" t="s">
        <v>1028</v>
      </c>
      <c r="BC282" t="s">
        <v>1031</v>
      </c>
      <c r="BD282" t="s">
        <v>1050</v>
      </c>
    </row>
    <row r="283" spans="51:56" x14ac:dyDescent="0.25">
      <c r="AY283" t="s">
        <v>702</v>
      </c>
      <c r="AZ283" t="s">
        <v>703</v>
      </c>
      <c r="BA283" t="s">
        <v>632</v>
      </c>
      <c r="BB283" t="s">
        <v>1028</v>
      </c>
      <c r="BC283" t="s">
        <v>1031</v>
      </c>
      <c r="BD283" t="s">
        <v>1050</v>
      </c>
    </row>
    <row r="284" spans="51:56" x14ac:dyDescent="0.25">
      <c r="AY284" t="s">
        <v>79</v>
      </c>
      <c r="AZ284" t="s">
        <v>230</v>
      </c>
      <c r="BA284" t="s">
        <v>704</v>
      </c>
      <c r="BB284" t="s">
        <v>989</v>
      </c>
      <c r="BC284" t="s">
        <v>990</v>
      </c>
      <c r="BD284" t="s">
        <v>991</v>
      </c>
    </row>
    <row r="285" spans="51:56" x14ac:dyDescent="0.25">
      <c r="AY285" t="s">
        <v>85</v>
      </c>
      <c r="AZ285" t="s">
        <v>705</v>
      </c>
      <c r="BA285" t="s">
        <v>704</v>
      </c>
      <c r="BB285" t="s">
        <v>986</v>
      </c>
      <c r="BC285" t="s">
        <v>987</v>
      </c>
      <c r="BD285" t="s">
        <v>988</v>
      </c>
    </row>
    <row r="286" spans="51:56" x14ac:dyDescent="0.25">
      <c r="AY286" t="s">
        <v>123</v>
      </c>
      <c r="AZ286" t="s">
        <v>706</v>
      </c>
      <c r="BA286" t="s">
        <v>704</v>
      </c>
      <c r="BB286" t="s">
        <v>989</v>
      </c>
      <c r="BC286" t="s">
        <v>990</v>
      </c>
      <c r="BD286" t="s">
        <v>991</v>
      </c>
    </row>
    <row r="287" spans="51:56" x14ac:dyDescent="0.25">
      <c r="AY287" t="s">
        <v>158</v>
      </c>
      <c r="AZ287" t="s">
        <v>707</v>
      </c>
      <c r="BA287" t="s">
        <v>704</v>
      </c>
      <c r="BB287" t="s">
        <v>989</v>
      </c>
      <c r="BC287" t="s">
        <v>990</v>
      </c>
      <c r="BD287" t="s">
        <v>991</v>
      </c>
    </row>
    <row r="288" spans="51:56" x14ac:dyDescent="0.25">
      <c r="AY288" t="s">
        <v>148</v>
      </c>
      <c r="AZ288" t="s">
        <v>708</v>
      </c>
      <c r="BA288" t="s">
        <v>704</v>
      </c>
      <c r="BB288" t="s">
        <v>989</v>
      </c>
      <c r="BC288" t="s">
        <v>993</v>
      </c>
      <c r="BD288" t="s">
        <v>994</v>
      </c>
    </row>
    <row r="289" spans="51:56" x14ac:dyDescent="0.25">
      <c r="AY289" t="s">
        <v>82</v>
      </c>
      <c r="AZ289" t="s">
        <v>709</v>
      </c>
      <c r="BA289" t="s">
        <v>704</v>
      </c>
      <c r="BB289" t="s">
        <v>1051</v>
      </c>
      <c r="BC289" t="s">
        <v>1101</v>
      </c>
      <c r="BD289" t="s">
        <v>1101</v>
      </c>
    </row>
    <row r="290" spans="51:56" x14ac:dyDescent="0.25">
      <c r="AY290" t="s">
        <v>129</v>
      </c>
      <c r="AZ290" t="s">
        <v>710</v>
      </c>
      <c r="BA290" t="s">
        <v>704</v>
      </c>
      <c r="BB290" t="s">
        <v>989</v>
      </c>
      <c r="BC290" t="s">
        <v>993</v>
      </c>
      <c r="BD290" t="s">
        <v>994</v>
      </c>
    </row>
    <row r="291" spans="51:56" x14ac:dyDescent="0.25">
      <c r="AY291" t="s">
        <v>194</v>
      </c>
      <c r="AZ291" t="s">
        <v>711</v>
      </c>
      <c r="BA291" t="s">
        <v>704</v>
      </c>
      <c r="BB291" t="s">
        <v>989</v>
      </c>
      <c r="BC291" t="s">
        <v>993</v>
      </c>
      <c r="BD291" t="s">
        <v>994</v>
      </c>
    </row>
    <row r="292" spans="51:56" x14ac:dyDescent="0.25">
      <c r="AY292" t="s">
        <v>176</v>
      </c>
      <c r="AZ292" t="s">
        <v>177</v>
      </c>
      <c r="BA292" t="s">
        <v>704</v>
      </c>
      <c r="BB292" t="s">
        <v>986</v>
      </c>
      <c r="BC292" t="s">
        <v>987</v>
      </c>
      <c r="BD292" t="s">
        <v>1023</v>
      </c>
    </row>
    <row r="293" spans="51:56" x14ac:dyDescent="0.25">
      <c r="AY293" t="s">
        <v>86</v>
      </c>
      <c r="AZ293" t="s">
        <v>712</v>
      </c>
      <c r="BA293" t="s">
        <v>704</v>
      </c>
      <c r="BB293" t="s">
        <v>986</v>
      </c>
      <c r="BC293" t="s">
        <v>987</v>
      </c>
      <c r="BD293" t="s">
        <v>988</v>
      </c>
    </row>
    <row r="294" spans="51:56" x14ac:dyDescent="0.25">
      <c r="AY294" t="s">
        <v>228</v>
      </c>
      <c r="AZ294" t="s">
        <v>713</v>
      </c>
      <c r="BA294" t="s">
        <v>704</v>
      </c>
      <c r="BB294" t="s">
        <v>986</v>
      </c>
      <c r="BC294" t="s">
        <v>987</v>
      </c>
      <c r="BD294" t="s">
        <v>988</v>
      </c>
    </row>
    <row r="295" spans="51:56" x14ac:dyDescent="0.25">
      <c r="AY295" t="s">
        <v>231</v>
      </c>
      <c r="AZ295" t="s">
        <v>714</v>
      </c>
      <c r="BA295" t="s">
        <v>704</v>
      </c>
      <c r="BB295" t="s">
        <v>986</v>
      </c>
      <c r="BC295" t="s">
        <v>1024</v>
      </c>
      <c r="BD295" t="s">
        <v>1034</v>
      </c>
    </row>
    <row r="296" spans="51:56" x14ac:dyDescent="0.25">
      <c r="AY296" t="s">
        <v>232</v>
      </c>
      <c r="AZ296" t="s">
        <v>116</v>
      </c>
      <c r="BA296" t="s">
        <v>704</v>
      </c>
      <c r="BB296" t="s">
        <v>995</v>
      </c>
      <c r="BC296" t="s">
        <v>1041</v>
      </c>
      <c r="BD296" t="s">
        <v>1041</v>
      </c>
    </row>
    <row r="297" spans="51:56" x14ac:dyDescent="0.25">
      <c r="AY297" t="s">
        <v>715</v>
      </c>
      <c r="AZ297" t="s">
        <v>92</v>
      </c>
      <c r="BA297" t="s">
        <v>704</v>
      </c>
      <c r="BB297" t="s">
        <v>995</v>
      </c>
      <c r="BC297" t="s">
        <v>1002</v>
      </c>
      <c r="BD297" t="s">
        <v>1002</v>
      </c>
    </row>
    <row r="298" spans="51:56" x14ac:dyDescent="0.25">
      <c r="AY298" t="s">
        <v>716</v>
      </c>
      <c r="AZ298" t="s">
        <v>717</v>
      </c>
      <c r="BA298" t="s">
        <v>704</v>
      </c>
      <c r="BB298" t="s">
        <v>995</v>
      </c>
      <c r="BC298" t="s">
        <v>1002</v>
      </c>
      <c r="BD298" t="s">
        <v>1002</v>
      </c>
    </row>
    <row r="299" spans="51:56" x14ac:dyDescent="0.25">
      <c r="AY299" t="s">
        <v>718</v>
      </c>
      <c r="AZ299" t="s">
        <v>719</v>
      </c>
      <c r="BA299" t="s">
        <v>704</v>
      </c>
      <c r="BB299" t="s">
        <v>995</v>
      </c>
      <c r="BC299" t="s">
        <v>1041</v>
      </c>
      <c r="BD299" t="s">
        <v>1041</v>
      </c>
    </row>
    <row r="300" spans="51:56" x14ac:dyDescent="0.25">
      <c r="AY300" t="s">
        <v>720</v>
      </c>
      <c r="AZ300" t="s">
        <v>721</v>
      </c>
      <c r="BA300" t="s">
        <v>704</v>
      </c>
      <c r="BB300" t="s">
        <v>995</v>
      </c>
      <c r="BC300" t="s">
        <v>1002</v>
      </c>
      <c r="BD300" t="s">
        <v>1002</v>
      </c>
    </row>
    <row r="301" spans="51:56" x14ac:dyDescent="0.25">
      <c r="AY301" t="s">
        <v>722</v>
      </c>
      <c r="AZ301" t="s">
        <v>723</v>
      </c>
      <c r="BA301" t="s">
        <v>704</v>
      </c>
      <c r="BB301" t="s">
        <v>995</v>
      </c>
      <c r="BC301" t="s">
        <v>1002</v>
      </c>
      <c r="BD301" t="s">
        <v>1002</v>
      </c>
    </row>
    <row r="302" spans="51:56" x14ac:dyDescent="0.25">
      <c r="AY302" t="s">
        <v>724</v>
      </c>
      <c r="AZ302" t="s">
        <v>725</v>
      </c>
      <c r="BA302" t="s">
        <v>704</v>
      </c>
      <c r="BB302" t="s">
        <v>995</v>
      </c>
      <c r="BC302" t="s">
        <v>1002</v>
      </c>
      <c r="BD302" t="s">
        <v>1002</v>
      </c>
    </row>
    <row r="303" spans="51:56" x14ac:dyDescent="0.25">
      <c r="AY303" t="s">
        <v>726</v>
      </c>
      <c r="AZ303" t="s">
        <v>727</v>
      </c>
      <c r="BA303" t="s">
        <v>704</v>
      </c>
      <c r="BB303" t="s">
        <v>995</v>
      </c>
      <c r="BC303" t="s">
        <v>996</v>
      </c>
      <c r="BD303" t="s">
        <v>1040</v>
      </c>
    </row>
    <row r="304" spans="51:56" x14ac:dyDescent="0.25">
      <c r="AY304" t="s">
        <v>229</v>
      </c>
      <c r="AZ304" t="s">
        <v>230</v>
      </c>
      <c r="BA304" t="s">
        <v>704</v>
      </c>
      <c r="BB304" t="s">
        <v>989</v>
      </c>
      <c r="BC304" t="s">
        <v>990</v>
      </c>
      <c r="BD304" t="s">
        <v>991</v>
      </c>
    </row>
    <row r="305" spans="51:56" x14ac:dyDescent="0.25">
      <c r="AY305" t="s">
        <v>728</v>
      </c>
      <c r="AZ305" t="s">
        <v>729</v>
      </c>
      <c r="BA305" t="s">
        <v>704</v>
      </c>
      <c r="BB305" t="s">
        <v>986</v>
      </c>
      <c r="BC305" t="s">
        <v>987</v>
      </c>
      <c r="BD305" t="s">
        <v>988</v>
      </c>
    </row>
    <row r="306" spans="51:56" x14ac:dyDescent="0.25">
      <c r="AY306" t="s">
        <v>730</v>
      </c>
      <c r="AZ306" t="s">
        <v>731</v>
      </c>
      <c r="BA306" t="s">
        <v>704</v>
      </c>
      <c r="BB306" t="s">
        <v>989</v>
      </c>
      <c r="BC306" t="s">
        <v>1019</v>
      </c>
      <c r="BD306" t="s">
        <v>1020</v>
      </c>
    </row>
    <row r="307" spans="51:56" x14ac:dyDescent="0.25">
      <c r="AY307" t="s">
        <v>732</v>
      </c>
      <c r="AZ307" t="s">
        <v>733</v>
      </c>
      <c r="BA307" t="s">
        <v>704</v>
      </c>
      <c r="BB307" t="s">
        <v>1021</v>
      </c>
      <c r="BC307" t="s">
        <v>1021</v>
      </c>
      <c r="BD307" t="s">
        <v>1022</v>
      </c>
    </row>
    <row r="308" spans="51:56" x14ac:dyDescent="0.25">
      <c r="AY308" t="s">
        <v>734</v>
      </c>
      <c r="AZ308" t="s">
        <v>735</v>
      </c>
      <c r="BA308" t="s">
        <v>704</v>
      </c>
      <c r="BB308" t="s">
        <v>1028</v>
      </c>
      <c r="BC308" t="s">
        <v>1031</v>
      </c>
      <c r="BD308" t="s">
        <v>1033</v>
      </c>
    </row>
    <row r="309" spans="51:56" x14ac:dyDescent="0.25">
      <c r="AY309" t="s">
        <v>243</v>
      </c>
      <c r="AZ309" t="s">
        <v>244</v>
      </c>
      <c r="BA309" t="s">
        <v>736</v>
      </c>
      <c r="BB309" t="s">
        <v>1006</v>
      </c>
      <c r="BC309" t="s">
        <v>1102</v>
      </c>
    </row>
    <row r="310" spans="51:56" x14ac:dyDescent="0.25">
      <c r="AY310" t="s">
        <v>245</v>
      </c>
      <c r="AZ310" t="s">
        <v>246</v>
      </c>
      <c r="BA310" t="s">
        <v>736</v>
      </c>
      <c r="BB310" t="s">
        <v>981</v>
      </c>
      <c r="BC310" t="s">
        <v>984</v>
      </c>
      <c r="BD310" t="s">
        <v>1016</v>
      </c>
    </row>
    <row r="311" spans="51:56" x14ac:dyDescent="0.25">
      <c r="AY311" t="s">
        <v>737</v>
      </c>
      <c r="AZ311" t="s">
        <v>738</v>
      </c>
      <c r="BA311" t="s">
        <v>736</v>
      </c>
      <c r="BB311" t="s">
        <v>995</v>
      </c>
      <c r="BC311" t="s">
        <v>1077</v>
      </c>
    </row>
    <row r="312" spans="51:56" x14ac:dyDescent="0.25">
      <c r="AY312" t="s">
        <v>247</v>
      </c>
      <c r="AZ312" t="s">
        <v>248</v>
      </c>
      <c r="BA312" t="s">
        <v>736</v>
      </c>
      <c r="BB312" t="s">
        <v>981</v>
      </c>
      <c r="BC312" t="s">
        <v>984</v>
      </c>
      <c r="BD312" t="s">
        <v>1016</v>
      </c>
    </row>
    <row r="313" spans="51:56" x14ac:dyDescent="0.25">
      <c r="AY313" t="s">
        <v>739</v>
      </c>
      <c r="AZ313" t="s">
        <v>740</v>
      </c>
      <c r="BA313" t="s">
        <v>736</v>
      </c>
      <c r="BB313" t="s">
        <v>1003</v>
      </c>
      <c r="BC313" t="s">
        <v>1004</v>
      </c>
    </row>
    <row r="314" spans="51:56" x14ac:dyDescent="0.25">
      <c r="AY314" t="s">
        <v>741</v>
      </c>
      <c r="AZ314" t="s">
        <v>742</v>
      </c>
      <c r="BA314" t="s">
        <v>736</v>
      </c>
      <c r="BB314" t="s">
        <v>995</v>
      </c>
      <c r="BC314" t="s">
        <v>1077</v>
      </c>
    </row>
    <row r="315" spans="51:56" x14ac:dyDescent="0.25">
      <c r="AY315" t="s">
        <v>743</v>
      </c>
      <c r="AZ315" t="s">
        <v>744</v>
      </c>
      <c r="BA315" t="s">
        <v>736</v>
      </c>
      <c r="BB315" t="s">
        <v>986</v>
      </c>
      <c r="BC315" t="s">
        <v>1089</v>
      </c>
    </row>
    <row r="316" spans="51:56" x14ac:dyDescent="0.25">
      <c r="AY316" t="s">
        <v>745</v>
      </c>
      <c r="AZ316" t="s">
        <v>746</v>
      </c>
      <c r="BA316" t="s">
        <v>736</v>
      </c>
      <c r="BB316" t="s">
        <v>995</v>
      </c>
      <c r="BC316" t="s">
        <v>1077</v>
      </c>
    </row>
    <row r="317" spans="51:56" x14ac:dyDescent="0.25">
      <c r="AY317" t="s">
        <v>747</v>
      </c>
      <c r="AZ317" t="s">
        <v>748</v>
      </c>
      <c r="BA317" t="s">
        <v>736</v>
      </c>
      <c r="BB317" t="s">
        <v>995</v>
      </c>
      <c r="BC317" t="s">
        <v>1103</v>
      </c>
    </row>
    <row r="318" spans="51:56" x14ac:dyDescent="0.25">
      <c r="AY318" t="s">
        <v>749</v>
      </c>
      <c r="AZ318" t="s">
        <v>750</v>
      </c>
      <c r="BA318" t="s">
        <v>736</v>
      </c>
      <c r="BB318" t="s">
        <v>1003</v>
      </c>
      <c r="BC318" t="s">
        <v>1010</v>
      </c>
      <c r="BD318" t="s">
        <v>1027</v>
      </c>
    </row>
    <row r="319" spans="51:56" x14ac:dyDescent="0.25">
      <c r="AY319" t="s">
        <v>751</v>
      </c>
      <c r="AZ319" t="s">
        <v>752</v>
      </c>
      <c r="BA319" t="s">
        <v>736</v>
      </c>
      <c r="BB319" t="s">
        <v>995</v>
      </c>
      <c r="BC319" t="s">
        <v>1077</v>
      </c>
    </row>
    <row r="320" spans="51:56" x14ac:dyDescent="0.25">
      <c r="AY320" t="s">
        <v>753</v>
      </c>
      <c r="AZ320" t="s">
        <v>754</v>
      </c>
      <c r="BA320" t="s">
        <v>736</v>
      </c>
      <c r="BB320" t="s">
        <v>1028</v>
      </c>
      <c r="BC320" t="s">
        <v>1078</v>
      </c>
    </row>
    <row r="321" spans="51:56" x14ac:dyDescent="0.25">
      <c r="AY321" t="s">
        <v>755</v>
      </c>
      <c r="AZ321" t="s">
        <v>756</v>
      </c>
      <c r="BA321" t="s">
        <v>736</v>
      </c>
      <c r="BB321" t="s">
        <v>995</v>
      </c>
      <c r="BC321" t="s">
        <v>1077</v>
      </c>
    </row>
    <row r="322" spans="51:56" x14ac:dyDescent="0.25">
      <c r="AY322" t="s">
        <v>757</v>
      </c>
      <c r="AZ322" t="s">
        <v>758</v>
      </c>
      <c r="BA322" t="s">
        <v>736</v>
      </c>
      <c r="BB322" t="s">
        <v>1044</v>
      </c>
      <c r="BC322" t="s">
        <v>1065</v>
      </c>
    </row>
    <row r="323" spans="51:56" x14ac:dyDescent="0.25">
      <c r="AY323" t="s">
        <v>759</v>
      </c>
      <c r="AZ323" t="s">
        <v>760</v>
      </c>
      <c r="BA323" t="s">
        <v>736</v>
      </c>
      <c r="BB323" t="s">
        <v>989</v>
      </c>
      <c r="BC323" t="s">
        <v>1057</v>
      </c>
    </row>
    <row r="324" spans="51:56" x14ac:dyDescent="0.25">
      <c r="AY324" t="s">
        <v>761</v>
      </c>
      <c r="AZ324" t="s">
        <v>762</v>
      </c>
      <c r="BA324" t="s">
        <v>736</v>
      </c>
      <c r="BB324" t="s">
        <v>981</v>
      </c>
      <c r="BC324" t="s">
        <v>1076</v>
      </c>
    </row>
    <row r="325" spans="51:56" x14ac:dyDescent="0.25">
      <c r="AY325" t="s">
        <v>763</v>
      </c>
      <c r="AZ325" t="s">
        <v>764</v>
      </c>
      <c r="BA325" t="s">
        <v>736</v>
      </c>
      <c r="BB325" t="s">
        <v>981</v>
      </c>
      <c r="BC325" t="s">
        <v>1076</v>
      </c>
    </row>
    <row r="326" spans="51:56" x14ac:dyDescent="0.25">
      <c r="AY326" t="s">
        <v>117</v>
      </c>
      <c r="AZ326" t="s">
        <v>248</v>
      </c>
      <c r="BA326" t="s">
        <v>736</v>
      </c>
      <c r="BB326" t="s">
        <v>981</v>
      </c>
      <c r="BC326" t="s">
        <v>984</v>
      </c>
      <c r="BD326" t="s">
        <v>1016</v>
      </c>
    </row>
    <row r="327" spans="51:56" x14ac:dyDescent="0.25">
      <c r="AY327" t="s">
        <v>235</v>
      </c>
      <c r="AZ327" t="s">
        <v>236</v>
      </c>
      <c r="BA327" t="s">
        <v>765</v>
      </c>
      <c r="BB327" t="s">
        <v>1044</v>
      </c>
      <c r="BC327" t="s">
        <v>1044</v>
      </c>
      <c r="BD327" t="s">
        <v>1045</v>
      </c>
    </row>
    <row r="328" spans="51:56" x14ac:dyDescent="0.25">
      <c r="AY328" t="s">
        <v>233</v>
      </c>
      <c r="AZ328" t="s">
        <v>234</v>
      </c>
      <c r="BA328" t="s">
        <v>765</v>
      </c>
      <c r="BB328" t="s">
        <v>995</v>
      </c>
      <c r="BC328" t="s">
        <v>1002</v>
      </c>
      <c r="BD328" t="s">
        <v>1002</v>
      </c>
    </row>
    <row r="329" spans="51:56" x14ac:dyDescent="0.25">
      <c r="AY329" t="s">
        <v>237</v>
      </c>
      <c r="AZ329" t="s">
        <v>238</v>
      </c>
      <c r="BA329" t="s">
        <v>765</v>
      </c>
      <c r="BB329" t="s">
        <v>997</v>
      </c>
      <c r="BC329" t="s">
        <v>1000</v>
      </c>
      <c r="BD329" t="s">
        <v>1009</v>
      </c>
    </row>
    <row r="330" spans="51:56" x14ac:dyDescent="0.25">
      <c r="AY330" t="s">
        <v>766</v>
      </c>
      <c r="AZ330" t="s">
        <v>767</v>
      </c>
      <c r="BA330" t="s">
        <v>765</v>
      </c>
      <c r="BB330" t="s">
        <v>995</v>
      </c>
      <c r="BC330" t="s">
        <v>1002</v>
      </c>
      <c r="BD330" t="s">
        <v>1002</v>
      </c>
    </row>
    <row r="331" spans="51:56" x14ac:dyDescent="0.25">
      <c r="AY331" t="s">
        <v>768</v>
      </c>
      <c r="AZ331" t="s">
        <v>769</v>
      </c>
      <c r="BA331" t="s">
        <v>765</v>
      </c>
      <c r="BB331" t="s">
        <v>995</v>
      </c>
      <c r="BC331" t="s">
        <v>1002</v>
      </c>
      <c r="BD331" t="s">
        <v>1002</v>
      </c>
    </row>
    <row r="332" spans="51:56" x14ac:dyDescent="0.25">
      <c r="AY332" t="s">
        <v>770</v>
      </c>
      <c r="AZ332" t="s">
        <v>771</v>
      </c>
      <c r="BA332" t="s">
        <v>765</v>
      </c>
      <c r="BB332" t="s">
        <v>995</v>
      </c>
      <c r="BC332" t="s">
        <v>1002</v>
      </c>
      <c r="BD332" t="s">
        <v>1002</v>
      </c>
    </row>
    <row r="333" spans="51:56" x14ac:dyDescent="0.25">
      <c r="AY333" t="s">
        <v>772</v>
      </c>
      <c r="AZ333" t="s">
        <v>773</v>
      </c>
      <c r="BA333" t="s">
        <v>765</v>
      </c>
      <c r="BB333" t="s">
        <v>989</v>
      </c>
      <c r="BC333" t="s">
        <v>990</v>
      </c>
      <c r="BD333" t="s">
        <v>991</v>
      </c>
    </row>
    <row r="334" spans="51:56" x14ac:dyDescent="0.25">
      <c r="AY334" t="s">
        <v>774</v>
      </c>
      <c r="AZ334" t="s">
        <v>775</v>
      </c>
      <c r="BA334" t="s">
        <v>765</v>
      </c>
      <c r="BB334" t="s">
        <v>995</v>
      </c>
      <c r="BC334" t="s">
        <v>996</v>
      </c>
      <c r="BD334" t="s">
        <v>1040</v>
      </c>
    </row>
    <row r="335" spans="51:56" x14ac:dyDescent="0.25">
      <c r="AY335" t="s">
        <v>776</v>
      </c>
      <c r="AZ335" t="s">
        <v>777</v>
      </c>
      <c r="BA335" t="s">
        <v>765</v>
      </c>
      <c r="BB335" t="s">
        <v>1003</v>
      </c>
      <c r="BC335" t="s">
        <v>1012</v>
      </c>
      <c r="BD335" t="s">
        <v>1012</v>
      </c>
    </row>
    <row r="336" spans="51:56" x14ac:dyDescent="0.25">
      <c r="AY336" t="s">
        <v>778</v>
      </c>
      <c r="AZ336" t="s">
        <v>779</v>
      </c>
      <c r="BA336" t="s">
        <v>765</v>
      </c>
      <c r="BB336" t="s">
        <v>1044</v>
      </c>
      <c r="BC336" t="s">
        <v>1044</v>
      </c>
      <c r="BD336" t="s">
        <v>1045</v>
      </c>
    </row>
    <row r="337" spans="51:56" x14ac:dyDescent="0.25">
      <c r="AY337" t="s">
        <v>780</v>
      </c>
      <c r="AZ337" t="s">
        <v>352</v>
      </c>
      <c r="BA337" t="s">
        <v>765</v>
      </c>
      <c r="BB337" t="s">
        <v>1044</v>
      </c>
      <c r="BC337" t="s">
        <v>1044</v>
      </c>
      <c r="BD337" t="s">
        <v>1045</v>
      </c>
    </row>
    <row r="338" spans="51:56" x14ac:dyDescent="0.25">
      <c r="AY338" t="s">
        <v>781</v>
      </c>
      <c r="AZ338" t="s">
        <v>782</v>
      </c>
      <c r="BA338" t="s">
        <v>765</v>
      </c>
      <c r="BB338" t="s">
        <v>986</v>
      </c>
      <c r="BC338" t="s">
        <v>1024</v>
      </c>
      <c r="BD338" t="s">
        <v>1025</v>
      </c>
    </row>
    <row r="339" spans="51:56" x14ac:dyDescent="0.25">
      <c r="AY339" t="s">
        <v>783</v>
      </c>
      <c r="AZ339" t="s">
        <v>191</v>
      </c>
      <c r="BA339" t="s">
        <v>765</v>
      </c>
      <c r="BB339" t="s">
        <v>1006</v>
      </c>
      <c r="BC339" t="s">
        <v>1006</v>
      </c>
      <c r="BD339" t="s">
        <v>1007</v>
      </c>
    </row>
    <row r="340" spans="51:56" x14ac:dyDescent="0.25">
      <c r="AY340" t="s">
        <v>784</v>
      </c>
      <c r="AZ340" t="s">
        <v>785</v>
      </c>
      <c r="BA340" t="s">
        <v>765</v>
      </c>
      <c r="BB340" t="s">
        <v>1051</v>
      </c>
      <c r="BC340" t="s">
        <v>1052</v>
      </c>
      <c r="BD340" t="s">
        <v>1104</v>
      </c>
    </row>
    <row r="341" spans="51:56" x14ac:dyDescent="0.25">
      <c r="AY341" t="s">
        <v>786</v>
      </c>
      <c r="AZ341" t="s">
        <v>787</v>
      </c>
      <c r="BA341" t="s">
        <v>765</v>
      </c>
      <c r="BB341" t="s">
        <v>995</v>
      </c>
      <c r="BC341" t="s">
        <v>1041</v>
      </c>
      <c r="BD341" t="s">
        <v>1041</v>
      </c>
    </row>
    <row r="342" spans="51:56" x14ac:dyDescent="0.25">
      <c r="AY342" t="s">
        <v>171</v>
      </c>
      <c r="AZ342" t="s">
        <v>788</v>
      </c>
      <c r="BA342" t="s">
        <v>789</v>
      </c>
      <c r="BB342" t="s">
        <v>981</v>
      </c>
      <c r="BC342" t="s">
        <v>984</v>
      </c>
      <c r="BD342" t="s">
        <v>1016</v>
      </c>
    </row>
    <row r="343" spans="51:56" x14ac:dyDescent="0.25">
      <c r="AY343" t="s">
        <v>241</v>
      </c>
      <c r="AZ343" t="s">
        <v>242</v>
      </c>
      <c r="BA343" t="s">
        <v>789</v>
      </c>
      <c r="BB343" t="s">
        <v>995</v>
      </c>
      <c r="BC343" t="s">
        <v>1002</v>
      </c>
      <c r="BD343" t="s">
        <v>1002</v>
      </c>
    </row>
    <row r="344" spans="51:56" x14ac:dyDescent="0.25">
      <c r="AY344" t="s">
        <v>239</v>
      </c>
      <c r="AZ344" t="s">
        <v>240</v>
      </c>
      <c r="BA344" t="s">
        <v>789</v>
      </c>
      <c r="BB344" t="s">
        <v>995</v>
      </c>
      <c r="BC344" t="s">
        <v>1002</v>
      </c>
      <c r="BD344" t="s">
        <v>1002</v>
      </c>
    </row>
    <row r="345" spans="51:56" x14ac:dyDescent="0.25">
      <c r="AY345" t="s">
        <v>790</v>
      </c>
      <c r="AZ345" t="s">
        <v>791</v>
      </c>
      <c r="BA345" t="s">
        <v>789</v>
      </c>
      <c r="BB345" t="s">
        <v>1006</v>
      </c>
      <c r="BC345" t="s">
        <v>1006</v>
      </c>
      <c r="BD345" t="s">
        <v>1007</v>
      </c>
    </row>
    <row r="346" spans="51:56" x14ac:dyDescent="0.25">
      <c r="AY346" t="s">
        <v>792</v>
      </c>
      <c r="AZ346" t="s">
        <v>793</v>
      </c>
      <c r="BA346" t="s">
        <v>789</v>
      </c>
      <c r="BB346" t="s">
        <v>1006</v>
      </c>
      <c r="BC346" t="s">
        <v>1006</v>
      </c>
      <c r="BD346" t="s">
        <v>1007</v>
      </c>
    </row>
    <row r="347" spans="51:56" x14ac:dyDescent="0.25">
      <c r="AY347" t="s">
        <v>794</v>
      </c>
      <c r="AZ347" t="s">
        <v>83</v>
      </c>
      <c r="BA347" t="s">
        <v>789</v>
      </c>
      <c r="BB347" t="s">
        <v>995</v>
      </c>
      <c r="BC347" t="s">
        <v>1002</v>
      </c>
      <c r="BD347" t="s">
        <v>1002</v>
      </c>
    </row>
    <row r="348" spans="51:56" x14ac:dyDescent="0.25">
      <c r="AY348" t="s">
        <v>795</v>
      </c>
      <c r="AZ348" t="s">
        <v>796</v>
      </c>
      <c r="BA348" t="s">
        <v>789</v>
      </c>
      <c r="BB348" t="s">
        <v>995</v>
      </c>
      <c r="BC348" t="s">
        <v>1002</v>
      </c>
      <c r="BD348" t="s">
        <v>1002</v>
      </c>
    </row>
    <row r="349" spans="51:56" x14ac:dyDescent="0.25">
      <c r="AY349" t="s">
        <v>797</v>
      </c>
      <c r="AZ349" t="s">
        <v>798</v>
      </c>
      <c r="BA349" t="s">
        <v>789</v>
      </c>
      <c r="BB349" t="s">
        <v>995</v>
      </c>
      <c r="BC349" t="s">
        <v>1002</v>
      </c>
      <c r="BD349" t="s">
        <v>1002</v>
      </c>
    </row>
    <row r="350" spans="51:56" x14ac:dyDescent="0.25">
      <c r="AY350" t="s">
        <v>799</v>
      </c>
      <c r="AZ350" t="s">
        <v>800</v>
      </c>
      <c r="BA350" t="s">
        <v>789</v>
      </c>
      <c r="BB350" t="s">
        <v>1028</v>
      </c>
      <c r="BC350" t="s">
        <v>1035</v>
      </c>
      <c r="BD350" t="s">
        <v>1036</v>
      </c>
    </row>
    <row r="351" spans="51:56" x14ac:dyDescent="0.25">
      <c r="AY351" t="s">
        <v>801</v>
      </c>
      <c r="AZ351" t="s">
        <v>96</v>
      </c>
      <c r="BA351" t="s">
        <v>789</v>
      </c>
      <c r="BB351" t="s">
        <v>1028</v>
      </c>
      <c r="BC351" t="s">
        <v>1029</v>
      </c>
      <c r="BD351" t="s">
        <v>1038</v>
      </c>
    </row>
    <row r="352" spans="51:56" x14ac:dyDescent="0.25">
      <c r="AY352" t="s">
        <v>802</v>
      </c>
      <c r="AZ352" t="s">
        <v>803</v>
      </c>
      <c r="BA352" t="s">
        <v>789</v>
      </c>
      <c r="BB352" t="s">
        <v>1028</v>
      </c>
      <c r="BC352" t="s">
        <v>1029</v>
      </c>
      <c r="BD352" t="s">
        <v>1038</v>
      </c>
    </row>
    <row r="353" spans="51:56" x14ac:dyDescent="0.25">
      <c r="AY353" t="s">
        <v>804</v>
      </c>
      <c r="AZ353" t="s">
        <v>805</v>
      </c>
      <c r="BA353" t="s">
        <v>789</v>
      </c>
      <c r="BB353" t="s">
        <v>1006</v>
      </c>
      <c r="BC353" t="s">
        <v>1006</v>
      </c>
      <c r="BD353" t="s">
        <v>1007</v>
      </c>
    </row>
    <row r="354" spans="51:56" x14ac:dyDescent="0.25">
      <c r="AY354" t="s">
        <v>806</v>
      </c>
      <c r="AZ354" t="s">
        <v>807</v>
      </c>
      <c r="BA354" t="s">
        <v>789</v>
      </c>
      <c r="BB354" t="s">
        <v>986</v>
      </c>
      <c r="BC354" t="s">
        <v>1024</v>
      </c>
      <c r="BD354" t="s">
        <v>1025</v>
      </c>
    </row>
    <row r="355" spans="51:56" x14ac:dyDescent="0.25">
      <c r="AY355" t="s">
        <v>808</v>
      </c>
      <c r="AZ355" t="s">
        <v>809</v>
      </c>
      <c r="BA355" t="s">
        <v>789</v>
      </c>
      <c r="BB355" t="s">
        <v>986</v>
      </c>
      <c r="BC355" t="s">
        <v>1024</v>
      </c>
      <c r="BD355" t="s">
        <v>1025</v>
      </c>
    </row>
    <row r="356" spans="51:56" x14ac:dyDescent="0.25">
      <c r="AY356" t="s">
        <v>810</v>
      </c>
      <c r="AZ356" t="s">
        <v>811</v>
      </c>
      <c r="BA356" t="s">
        <v>789</v>
      </c>
      <c r="BB356" t="s">
        <v>1028</v>
      </c>
      <c r="BC356" t="s">
        <v>1035</v>
      </c>
      <c r="BD356" t="s">
        <v>1105</v>
      </c>
    </row>
    <row r="357" spans="51:56" x14ac:dyDescent="0.25">
      <c r="AY357" t="s">
        <v>187</v>
      </c>
      <c r="AZ357" t="s">
        <v>188</v>
      </c>
      <c r="BA357" t="s">
        <v>812</v>
      </c>
      <c r="BB357" t="s">
        <v>1044</v>
      </c>
      <c r="BC357" t="s">
        <v>1044</v>
      </c>
      <c r="BD357" t="s">
        <v>1045</v>
      </c>
    </row>
    <row r="358" spans="51:56" x14ac:dyDescent="0.25">
      <c r="AY358" t="s">
        <v>157</v>
      </c>
      <c r="AZ358" t="s">
        <v>813</v>
      </c>
      <c r="BA358" t="s">
        <v>812</v>
      </c>
      <c r="BB358" t="s">
        <v>1006</v>
      </c>
      <c r="BC358" t="s">
        <v>1006</v>
      </c>
      <c r="BD358" t="s">
        <v>1007</v>
      </c>
    </row>
    <row r="359" spans="51:56" x14ac:dyDescent="0.25">
      <c r="AY359" t="s">
        <v>122</v>
      </c>
      <c r="AZ359" t="s">
        <v>814</v>
      </c>
      <c r="BA359" t="s">
        <v>812</v>
      </c>
      <c r="BB359" t="s">
        <v>995</v>
      </c>
      <c r="BC359" t="s">
        <v>1002</v>
      </c>
      <c r="BD359" t="s">
        <v>1002</v>
      </c>
    </row>
    <row r="360" spans="51:56" x14ac:dyDescent="0.25">
      <c r="AY360" t="s">
        <v>150</v>
      </c>
      <c r="AZ360" t="s">
        <v>815</v>
      </c>
      <c r="BA360" t="s">
        <v>812</v>
      </c>
      <c r="BB360" t="s">
        <v>995</v>
      </c>
      <c r="BC360" t="s">
        <v>1002</v>
      </c>
      <c r="BD360" t="s">
        <v>1002</v>
      </c>
    </row>
    <row r="361" spans="51:56" x14ac:dyDescent="0.25">
      <c r="AY361" t="s">
        <v>60</v>
      </c>
      <c r="AZ361" t="s">
        <v>61</v>
      </c>
      <c r="BA361" t="s">
        <v>812</v>
      </c>
      <c r="BB361" t="s">
        <v>1003</v>
      </c>
      <c r="BC361" t="s">
        <v>1010</v>
      </c>
      <c r="BD361" t="s">
        <v>1011</v>
      </c>
    </row>
    <row r="362" spans="51:56" x14ac:dyDescent="0.25">
      <c r="AY362" t="s">
        <v>80</v>
      </c>
      <c r="AZ362" t="s">
        <v>81</v>
      </c>
      <c r="BA362" t="s">
        <v>812</v>
      </c>
      <c r="BB362" t="s">
        <v>995</v>
      </c>
      <c r="BC362" t="s">
        <v>1002</v>
      </c>
      <c r="BD362" t="s">
        <v>1002</v>
      </c>
    </row>
    <row r="363" spans="51:56" x14ac:dyDescent="0.25">
      <c r="AY363" t="s">
        <v>816</v>
      </c>
      <c r="AZ363" t="s">
        <v>817</v>
      </c>
      <c r="BA363" t="s">
        <v>812</v>
      </c>
      <c r="BB363" t="s">
        <v>1003</v>
      </c>
      <c r="BC363" t="s">
        <v>1012</v>
      </c>
      <c r="BD363" t="s">
        <v>1012</v>
      </c>
    </row>
    <row r="364" spans="51:56" x14ac:dyDescent="0.25">
      <c r="AY364" t="s">
        <v>169</v>
      </c>
      <c r="AZ364" t="s">
        <v>818</v>
      </c>
      <c r="BA364" t="s">
        <v>812</v>
      </c>
      <c r="BB364" t="s">
        <v>1021</v>
      </c>
      <c r="BC364" t="s">
        <v>1021</v>
      </c>
      <c r="BD364" t="s">
        <v>1106</v>
      </c>
    </row>
    <row r="365" spans="51:56" x14ac:dyDescent="0.25">
      <c r="AY365" t="s">
        <v>105</v>
      </c>
      <c r="AZ365" t="s">
        <v>819</v>
      </c>
      <c r="BA365" t="s">
        <v>812</v>
      </c>
      <c r="BB365" t="s">
        <v>1021</v>
      </c>
      <c r="BC365" t="s">
        <v>1021</v>
      </c>
      <c r="BD365" t="s">
        <v>1022</v>
      </c>
    </row>
    <row r="366" spans="51:56" x14ac:dyDescent="0.25">
      <c r="AY366" t="s">
        <v>88</v>
      </c>
      <c r="AZ366" t="s">
        <v>89</v>
      </c>
      <c r="BA366" t="s">
        <v>812</v>
      </c>
      <c r="BB366" t="s">
        <v>1003</v>
      </c>
      <c r="BC366" t="s">
        <v>1010</v>
      </c>
      <c r="BD366" t="s">
        <v>1037</v>
      </c>
    </row>
    <row r="367" spans="51:56" x14ac:dyDescent="0.25">
      <c r="AY367" t="s">
        <v>250</v>
      </c>
      <c r="AZ367" t="s">
        <v>813</v>
      </c>
      <c r="BA367" t="s">
        <v>812</v>
      </c>
      <c r="BB367" t="s">
        <v>1006</v>
      </c>
      <c r="BC367" t="s">
        <v>1006</v>
      </c>
      <c r="BD367" t="s">
        <v>1007</v>
      </c>
    </row>
    <row r="368" spans="51:56" x14ac:dyDescent="0.25">
      <c r="AY368" t="s">
        <v>249</v>
      </c>
      <c r="AZ368" t="s">
        <v>188</v>
      </c>
      <c r="BA368" t="s">
        <v>812</v>
      </c>
      <c r="BB368" t="s">
        <v>1044</v>
      </c>
      <c r="BC368" t="s">
        <v>1044</v>
      </c>
      <c r="BD368" t="s">
        <v>1045</v>
      </c>
    </row>
    <row r="369" spans="51:56" x14ac:dyDescent="0.25">
      <c r="AY369" t="s">
        <v>251</v>
      </c>
      <c r="AZ369" t="s">
        <v>814</v>
      </c>
      <c r="BA369" t="s">
        <v>812</v>
      </c>
      <c r="BB369" t="s">
        <v>995</v>
      </c>
      <c r="BC369" t="s">
        <v>1002</v>
      </c>
      <c r="BD369" t="s">
        <v>1002</v>
      </c>
    </row>
    <row r="370" spans="51:56" x14ac:dyDescent="0.25">
      <c r="AY370" t="s">
        <v>820</v>
      </c>
      <c r="AZ370" t="s">
        <v>81</v>
      </c>
      <c r="BA370" t="s">
        <v>812</v>
      </c>
      <c r="BB370" t="s">
        <v>995</v>
      </c>
      <c r="BC370" t="s">
        <v>1002</v>
      </c>
      <c r="BD370" t="s">
        <v>1002</v>
      </c>
    </row>
    <row r="371" spans="51:56" x14ac:dyDescent="0.25">
      <c r="AY371" t="s">
        <v>821</v>
      </c>
      <c r="AZ371" t="s">
        <v>822</v>
      </c>
      <c r="BA371" t="s">
        <v>812</v>
      </c>
      <c r="BB371" t="s">
        <v>995</v>
      </c>
      <c r="BC371" t="s">
        <v>996</v>
      </c>
      <c r="BD371" t="s">
        <v>1040</v>
      </c>
    </row>
    <row r="372" spans="51:56" x14ac:dyDescent="0.25">
      <c r="AY372" t="s">
        <v>823</v>
      </c>
      <c r="AZ372" t="s">
        <v>61</v>
      </c>
      <c r="BA372" t="s">
        <v>812</v>
      </c>
      <c r="BB372" t="s">
        <v>1003</v>
      </c>
      <c r="BC372" t="s">
        <v>1010</v>
      </c>
      <c r="BD372" t="s">
        <v>1011</v>
      </c>
    </row>
    <row r="373" spans="51:56" x14ac:dyDescent="0.25">
      <c r="AY373" t="s">
        <v>217</v>
      </c>
      <c r="AZ373" t="s">
        <v>824</v>
      </c>
      <c r="BA373" t="s">
        <v>825</v>
      </c>
      <c r="BB373" t="s">
        <v>1003</v>
      </c>
      <c r="BC373" t="s">
        <v>1072</v>
      </c>
    </row>
    <row r="374" spans="51:56" x14ac:dyDescent="0.25">
      <c r="AY374" t="s">
        <v>220</v>
      </c>
      <c r="AZ374" t="s">
        <v>152</v>
      </c>
      <c r="BA374" t="s">
        <v>825</v>
      </c>
      <c r="BB374" t="s">
        <v>997</v>
      </c>
      <c r="BC374" t="s">
        <v>1070</v>
      </c>
    </row>
    <row r="375" spans="51:56" x14ac:dyDescent="0.25">
      <c r="AY375" t="s">
        <v>218</v>
      </c>
      <c r="AZ375" t="s">
        <v>219</v>
      </c>
      <c r="BA375" t="s">
        <v>825</v>
      </c>
      <c r="BB375" t="s">
        <v>997</v>
      </c>
      <c r="BC375" t="s">
        <v>1070</v>
      </c>
    </row>
    <row r="376" spans="51:56" x14ac:dyDescent="0.25">
      <c r="AY376" t="s">
        <v>221</v>
      </c>
      <c r="AZ376" t="s">
        <v>826</v>
      </c>
      <c r="BA376" t="s">
        <v>825</v>
      </c>
      <c r="BB376" t="s">
        <v>989</v>
      </c>
      <c r="BC376" t="s">
        <v>1069</v>
      </c>
    </row>
    <row r="377" spans="51:56" x14ac:dyDescent="0.25">
      <c r="AY377" t="s">
        <v>827</v>
      </c>
      <c r="AZ377" t="s">
        <v>828</v>
      </c>
      <c r="BA377" t="s">
        <v>825</v>
      </c>
      <c r="BB377" t="s">
        <v>1028</v>
      </c>
      <c r="BC377" t="s">
        <v>1088</v>
      </c>
    </row>
    <row r="378" spans="51:56" x14ac:dyDescent="0.25">
      <c r="AY378" t="s">
        <v>829</v>
      </c>
      <c r="AZ378" t="s">
        <v>830</v>
      </c>
      <c r="BA378" t="s">
        <v>825</v>
      </c>
      <c r="BB378" t="s">
        <v>995</v>
      </c>
      <c r="BC378" t="s">
        <v>1074</v>
      </c>
    </row>
    <row r="379" spans="51:56" x14ac:dyDescent="0.25">
      <c r="AY379" t="s">
        <v>831</v>
      </c>
      <c r="AZ379" t="s">
        <v>832</v>
      </c>
      <c r="BA379" t="s">
        <v>825</v>
      </c>
      <c r="BB379" t="s">
        <v>995</v>
      </c>
      <c r="BC379" t="s">
        <v>1107</v>
      </c>
    </row>
    <row r="380" spans="51:56" x14ac:dyDescent="0.25">
      <c r="AY380" t="s">
        <v>833</v>
      </c>
      <c r="AZ380" t="s">
        <v>834</v>
      </c>
      <c r="BA380" t="s">
        <v>825</v>
      </c>
      <c r="BB380" t="s">
        <v>1044</v>
      </c>
      <c r="BC380" t="s">
        <v>1065</v>
      </c>
    </row>
    <row r="381" spans="51:56" x14ac:dyDescent="0.25">
      <c r="AY381" t="s">
        <v>835</v>
      </c>
      <c r="AZ381" t="s">
        <v>836</v>
      </c>
      <c r="BA381" t="s">
        <v>825</v>
      </c>
      <c r="BB381" t="s">
        <v>997</v>
      </c>
      <c r="BC381" t="s">
        <v>1108</v>
      </c>
    </row>
    <row r="382" spans="51:56" x14ac:dyDescent="0.25">
      <c r="AY382" t="s">
        <v>837</v>
      </c>
      <c r="AZ382" t="s">
        <v>838</v>
      </c>
      <c r="BA382" t="s">
        <v>825</v>
      </c>
      <c r="BB382" t="s">
        <v>995</v>
      </c>
      <c r="BC382" t="s">
        <v>1074</v>
      </c>
    </row>
    <row r="383" spans="51:56" x14ac:dyDescent="0.25">
      <c r="AY383" t="s">
        <v>839</v>
      </c>
      <c r="AZ383" t="s">
        <v>840</v>
      </c>
      <c r="BA383" t="s">
        <v>825</v>
      </c>
      <c r="BB383" t="s">
        <v>989</v>
      </c>
      <c r="BC383" t="s">
        <v>1069</v>
      </c>
    </row>
    <row r="384" spans="51:56" x14ac:dyDescent="0.25">
      <c r="AY384" t="s">
        <v>841</v>
      </c>
      <c r="AZ384" t="s">
        <v>842</v>
      </c>
      <c r="BA384" t="s">
        <v>825</v>
      </c>
      <c r="BB384" t="s">
        <v>986</v>
      </c>
      <c r="BC384" t="s">
        <v>1089</v>
      </c>
    </row>
    <row r="385" spans="51:56" x14ac:dyDescent="0.25">
      <c r="AY385" t="s">
        <v>843</v>
      </c>
      <c r="AZ385" t="s">
        <v>844</v>
      </c>
      <c r="BA385" t="s">
        <v>825</v>
      </c>
      <c r="BB385" t="s">
        <v>997</v>
      </c>
      <c r="BC385" t="s">
        <v>1075</v>
      </c>
    </row>
    <row r="386" spans="51:56" x14ac:dyDescent="0.25">
      <c r="AY386" t="s">
        <v>845</v>
      </c>
      <c r="AZ386" t="s">
        <v>846</v>
      </c>
      <c r="BA386" t="s">
        <v>825</v>
      </c>
      <c r="BB386" t="s">
        <v>1044</v>
      </c>
      <c r="BC386" t="s">
        <v>1065</v>
      </c>
    </row>
    <row r="387" spans="51:56" x14ac:dyDescent="0.25">
      <c r="AY387" t="s">
        <v>847</v>
      </c>
      <c r="AZ387" t="s">
        <v>848</v>
      </c>
      <c r="BA387" t="s">
        <v>849</v>
      </c>
      <c r="BB387" t="s">
        <v>981</v>
      </c>
      <c r="BC387" t="s">
        <v>982</v>
      </c>
      <c r="BD387" t="s">
        <v>983</v>
      </c>
    </row>
    <row r="388" spans="51:56" x14ac:dyDescent="0.25">
      <c r="AY388" t="s">
        <v>850</v>
      </c>
      <c r="AZ388" t="s">
        <v>851</v>
      </c>
      <c r="BA388" t="s">
        <v>849</v>
      </c>
      <c r="BB388" t="s">
        <v>981</v>
      </c>
      <c r="BC388" t="s">
        <v>992</v>
      </c>
      <c r="BD388" t="s">
        <v>992</v>
      </c>
    </row>
    <row r="389" spans="51:56" x14ac:dyDescent="0.25">
      <c r="AY389" t="s">
        <v>852</v>
      </c>
      <c r="AZ389" t="s">
        <v>853</v>
      </c>
      <c r="BA389" t="s">
        <v>849</v>
      </c>
      <c r="BB389" t="s">
        <v>986</v>
      </c>
      <c r="BC389" t="s">
        <v>987</v>
      </c>
      <c r="BD389" t="s">
        <v>988</v>
      </c>
    </row>
    <row r="390" spans="51:56" x14ac:dyDescent="0.25">
      <c r="AY390" t="s">
        <v>854</v>
      </c>
      <c r="AZ390" t="s">
        <v>855</v>
      </c>
      <c r="BA390" t="s">
        <v>849</v>
      </c>
      <c r="BB390" t="s">
        <v>1044</v>
      </c>
      <c r="BC390" t="s">
        <v>1044</v>
      </c>
      <c r="BD390" t="s">
        <v>1055</v>
      </c>
    </row>
    <row r="391" spans="51:56" x14ac:dyDescent="0.25">
      <c r="AY391" t="s">
        <v>856</v>
      </c>
      <c r="AZ391" t="s">
        <v>857</v>
      </c>
      <c r="BA391" t="s">
        <v>849</v>
      </c>
      <c r="BB391" t="s">
        <v>989</v>
      </c>
      <c r="BC391" t="s">
        <v>993</v>
      </c>
      <c r="BD391" t="s">
        <v>994</v>
      </c>
    </row>
    <row r="392" spans="51:56" x14ac:dyDescent="0.25">
      <c r="AY392" t="s">
        <v>858</v>
      </c>
      <c r="AZ392" t="s">
        <v>859</v>
      </c>
      <c r="BA392" t="s">
        <v>849</v>
      </c>
      <c r="BB392" t="s">
        <v>981</v>
      </c>
      <c r="BC392" t="s">
        <v>982</v>
      </c>
      <c r="BD392" t="s">
        <v>1099</v>
      </c>
    </row>
    <row r="393" spans="51:56" x14ac:dyDescent="0.25">
      <c r="AY393" t="s">
        <v>860</v>
      </c>
      <c r="AZ393" t="s">
        <v>861</v>
      </c>
      <c r="BA393" t="s">
        <v>849</v>
      </c>
      <c r="BB393" t="s">
        <v>986</v>
      </c>
      <c r="BC393" t="s">
        <v>987</v>
      </c>
      <c r="BD393" t="s">
        <v>988</v>
      </c>
    </row>
    <row r="394" spans="51:56" x14ac:dyDescent="0.25">
      <c r="AY394" t="s">
        <v>862</v>
      </c>
      <c r="AZ394" t="s">
        <v>863</v>
      </c>
      <c r="BA394" t="s">
        <v>849</v>
      </c>
      <c r="BB394" t="s">
        <v>997</v>
      </c>
      <c r="BC394" t="s">
        <v>1000</v>
      </c>
      <c r="BD394" t="s">
        <v>1009</v>
      </c>
    </row>
    <row r="395" spans="51:56" x14ac:dyDescent="0.25">
      <c r="AY395" t="s">
        <v>864</v>
      </c>
      <c r="AZ395" t="s">
        <v>865</v>
      </c>
      <c r="BA395" t="s">
        <v>849</v>
      </c>
      <c r="BB395" t="s">
        <v>995</v>
      </c>
      <c r="BC395" t="s">
        <v>1002</v>
      </c>
      <c r="BD395" t="s">
        <v>1002</v>
      </c>
    </row>
    <row r="396" spans="51:56" x14ac:dyDescent="0.25">
      <c r="AY396" t="s">
        <v>866</v>
      </c>
      <c r="AZ396" t="s">
        <v>867</v>
      </c>
      <c r="BA396" t="s">
        <v>849</v>
      </c>
      <c r="BB396" t="s">
        <v>997</v>
      </c>
      <c r="BC396" t="s">
        <v>1000</v>
      </c>
      <c r="BD396" t="s">
        <v>1013</v>
      </c>
    </row>
    <row r="397" spans="51:56" x14ac:dyDescent="0.25">
      <c r="AY397" t="s">
        <v>868</v>
      </c>
      <c r="AZ397" t="s">
        <v>869</v>
      </c>
      <c r="BA397" t="s">
        <v>849</v>
      </c>
      <c r="BB397" t="s">
        <v>1044</v>
      </c>
      <c r="BC397" t="s">
        <v>1044</v>
      </c>
      <c r="BD397" t="s">
        <v>1045</v>
      </c>
    </row>
    <row r="398" spans="51:56" x14ac:dyDescent="0.25">
      <c r="AY398" t="s">
        <v>870</v>
      </c>
      <c r="AZ398" t="s">
        <v>871</v>
      </c>
      <c r="BA398" t="s">
        <v>849</v>
      </c>
      <c r="BB398" t="s">
        <v>989</v>
      </c>
      <c r="BC398" t="s">
        <v>993</v>
      </c>
      <c r="BD398" t="s">
        <v>1059</v>
      </c>
    </row>
    <row r="399" spans="51:56" x14ac:dyDescent="0.25">
      <c r="AY399" t="s">
        <v>872</v>
      </c>
      <c r="AZ399" t="s">
        <v>873</v>
      </c>
      <c r="BA399" t="s">
        <v>874</v>
      </c>
      <c r="BB399" t="s">
        <v>1021</v>
      </c>
      <c r="BC399" t="s">
        <v>1056</v>
      </c>
    </row>
    <row r="400" spans="51:56" x14ac:dyDescent="0.25">
      <c r="AY400" t="s">
        <v>875</v>
      </c>
      <c r="AZ400" t="s">
        <v>876</v>
      </c>
      <c r="BA400" t="s">
        <v>874</v>
      </c>
      <c r="BB400" t="s">
        <v>1006</v>
      </c>
      <c r="BC400" t="s">
        <v>1006</v>
      </c>
      <c r="BD400" t="s">
        <v>1007</v>
      </c>
    </row>
    <row r="401" spans="51:56" x14ac:dyDescent="0.25">
      <c r="AY401" t="s">
        <v>877</v>
      </c>
      <c r="AZ401" t="s">
        <v>878</v>
      </c>
      <c r="BA401" t="s">
        <v>874</v>
      </c>
      <c r="BB401" t="s">
        <v>995</v>
      </c>
      <c r="BC401" t="s">
        <v>1002</v>
      </c>
      <c r="BD401" t="s">
        <v>1002</v>
      </c>
    </row>
    <row r="402" spans="51:56" x14ac:dyDescent="0.25">
      <c r="AY402" t="s">
        <v>879</v>
      </c>
      <c r="AZ402" t="s">
        <v>880</v>
      </c>
      <c r="BA402" t="s">
        <v>874</v>
      </c>
      <c r="BB402" t="s">
        <v>995</v>
      </c>
      <c r="BC402" t="s">
        <v>1077</v>
      </c>
    </row>
    <row r="403" spans="51:56" x14ac:dyDescent="0.25">
      <c r="AY403" t="s">
        <v>881</v>
      </c>
      <c r="AZ403" t="s">
        <v>882</v>
      </c>
      <c r="BA403" t="s">
        <v>874</v>
      </c>
      <c r="BB403" t="s">
        <v>995</v>
      </c>
      <c r="BC403" t="s">
        <v>1074</v>
      </c>
    </row>
    <row r="404" spans="51:56" x14ac:dyDescent="0.25">
      <c r="AY404" t="s">
        <v>883</v>
      </c>
      <c r="AZ404" t="s">
        <v>884</v>
      </c>
      <c r="BA404" t="s">
        <v>874</v>
      </c>
      <c r="BB404" t="s">
        <v>986</v>
      </c>
      <c r="BC404" t="s">
        <v>1089</v>
      </c>
    </row>
    <row r="405" spans="51:56" x14ac:dyDescent="0.25">
      <c r="AY405" t="s">
        <v>885</v>
      </c>
      <c r="AZ405" t="s">
        <v>886</v>
      </c>
      <c r="BA405" t="s">
        <v>874</v>
      </c>
      <c r="BB405" t="s">
        <v>981</v>
      </c>
      <c r="BC405" t="s">
        <v>1060</v>
      </c>
    </row>
    <row r="406" spans="51:56" x14ac:dyDescent="0.25">
      <c r="AY406" t="s">
        <v>887</v>
      </c>
      <c r="AZ406" t="s">
        <v>166</v>
      </c>
      <c r="BA406" t="s">
        <v>874</v>
      </c>
      <c r="BB406" t="s">
        <v>989</v>
      </c>
      <c r="BC406" t="s">
        <v>993</v>
      </c>
      <c r="BD406" t="s">
        <v>994</v>
      </c>
    </row>
    <row r="407" spans="51:56" x14ac:dyDescent="0.25">
      <c r="AY407" t="s">
        <v>888</v>
      </c>
      <c r="AZ407" t="s">
        <v>889</v>
      </c>
      <c r="BA407" t="s">
        <v>874</v>
      </c>
      <c r="BB407" t="s">
        <v>1003</v>
      </c>
      <c r="BC407" t="s">
        <v>1079</v>
      </c>
    </row>
    <row r="408" spans="51:56" x14ac:dyDescent="0.25">
      <c r="AY408" t="s">
        <v>890</v>
      </c>
      <c r="AZ408" t="s">
        <v>891</v>
      </c>
      <c r="BA408" t="s">
        <v>874</v>
      </c>
      <c r="BB408" t="s">
        <v>1028</v>
      </c>
      <c r="BC408" t="s">
        <v>1109</v>
      </c>
    </row>
    <row r="409" spans="51:56" x14ac:dyDescent="0.25">
      <c r="AY409" t="s">
        <v>892</v>
      </c>
      <c r="AZ409" t="s">
        <v>893</v>
      </c>
      <c r="BA409" t="s">
        <v>874</v>
      </c>
      <c r="BB409" t="s">
        <v>995</v>
      </c>
      <c r="BC409" t="s">
        <v>1002</v>
      </c>
      <c r="BD409" t="s">
        <v>1002</v>
      </c>
    </row>
    <row r="410" spans="51:56" x14ac:dyDescent="0.25">
      <c r="AY410" t="s">
        <v>894</v>
      </c>
      <c r="AZ410" t="s">
        <v>895</v>
      </c>
      <c r="BA410" t="s">
        <v>874</v>
      </c>
      <c r="BB410" t="s">
        <v>1028</v>
      </c>
      <c r="BC410" t="s">
        <v>1032</v>
      </c>
    </row>
    <row r="411" spans="51:56" x14ac:dyDescent="0.25">
      <c r="AY411" t="s">
        <v>896</v>
      </c>
      <c r="AZ411" t="s">
        <v>897</v>
      </c>
      <c r="BA411" t="s">
        <v>874</v>
      </c>
      <c r="BB411" t="s">
        <v>995</v>
      </c>
      <c r="BC411" t="s">
        <v>1077</v>
      </c>
    </row>
    <row r="412" spans="51:56" x14ac:dyDescent="0.25">
      <c r="AY412" t="s">
        <v>898</v>
      </c>
      <c r="AZ412" t="s">
        <v>899</v>
      </c>
      <c r="BA412" t="s">
        <v>874</v>
      </c>
      <c r="BB412" t="s">
        <v>995</v>
      </c>
      <c r="BC412" t="s">
        <v>996</v>
      </c>
      <c r="BD412" t="s">
        <v>1040</v>
      </c>
    </row>
    <row r="413" spans="51:56" x14ac:dyDescent="0.25">
      <c r="AY413" t="s">
        <v>900</v>
      </c>
      <c r="AZ413" t="s">
        <v>901</v>
      </c>
      <c r="BA413" t="s">
        <v>874</v>
      </c>
      <c r="BB413" t="s">
        <v>989</v>
      </c>
      <c r="BC413" t="s">
        <v>993</v>
      </c>
      <c r="BD413" t="s">
        <v>994</v>
      </c>
    </row>
    <row r="414" spans="51:56" x14ac:dyDescent="0.25">
      <c r="AY414" t="s">
        <v>202</v>
      </c>
      <c r="AZ414" t="s">
        <v>332</v>
      </c>
      <c r="BA414" t="s">
        <v>203</v>
      </c>
      <c r="BB414" t="s">
        <v>981</v>
      </c>
      <c r="BC414" t="s">
        <v>992</v>
      </c>
      <c r="BD414" t="s">
        <v>992</v>
      </c>
    </row>
    <row r="415" spans="51:56" x14ac:dyDescent="0.25">
      <c r="AY415" t="s">
        <v>902</v>
      </c>
      <c r="AZ415" t="s">
        <v>118</v>
      </c>
      <c r="BA415" t="s">
        <v>203</v>
      </c>
      <c r="BB415" t="s">
        <v>995</v>
      </c>
      <c r="BC415" t="s">
        <v>1002</v>
      </c>
      <c r="BD415" t="s">
        <v>1002</v>
      </c>
    </row>
    <row r="416" spans="51:56" x14ac:dyDescent="0.25">
      <c r="AY416" t="s">
        <v>903</v>
      </c>
      <c r="AZ416" t="s">
        <v>161</v>
      </c>
      <c r="BA416" t="s">
        <v>203</v>
      </c>
      <c r="BB416" t="s">
        <v>997</v>
      </c>
      <c r="BC416" t="s">
        <v>1064</v>
      </c>
    </row>
    <row r="417" spans="51:56" x14ac:dyDescent="0.25">
      <c r="AY417" t="s">
        <v>904</v>
      </c>
      <c r="AZ417" t="s">
        <v>905</v>
      </c>
      <c r="BA417" t="s">
        <v>203</v>
      </c>
      <c r="BB417" t="s">
        <v>1003</v>
      </c>
      <c r="BC417" t="s">
        <v>1012</v>
      </c>
      <c r="BD417" t="s">
        <v>1012</v>
      </c>
    </row>
    <row r="418" spans="51:56" x14ac:dyDescent="0.25">
      <c r="AY418" t="s">
        <v>906</v>
      </c>
      <c r="AZ418" t="s">
        <v>907</v>
      </c>
      <c r="BA418" t="s">
        <v>203</v>
      </c>
      <c r="BB418" t="s">
        <v>1003</v>
      </c>
      <c r="BC418" t="s">
        <v>1110</v>
      </c>
    </row>
    <row r="419" spans="51:56" x14ac:dyDescent="0.25">
      <c r="AY419" t="s">
        <v>908</v>
      </c>
      <c r="AZ419" t="s">
        <v>909</v>
      </c>
      <c r="BA419" t="s">
        <v>203</v>
      </c>
      <c r="BB419" t="s">
        <v>995</v>
      </c>
      <c r="BC419" t="s">
        <v>996</v>
      </c>
      <c r="BD419" t="s">
        <v>996</v>
      </c>
    </row>
    <row r="420" spans="51:56" x14ac:dyDescent="0.25">
      <c r="AY420" t="s">
        <v>910</v>
      </c>
      <c r="AZ420" t="s">
        <v>225</v>
      </c>
      <c r="BA420" t="s">
        <v>203</v>
      </c>
      <c r="BB420" t="s">
        <v>1003</v>
      </c>
      <c r="BC420" t="s">
        <v>1004</v>
      </c>
    </row>
    <row r="421" spans="51:56" x14ac:dyDescent="0.25">
      <c r="AY421" t="s">
        <v>911</v>
      </c>
      <c r="AZ421" t="s">
        <v>912</v>
      </c>
      <c r="BA421" t="s">
        <v>203</v>
      </c>
      <c r="BB421" t="s">
        <v>986</v>
      </c>
      <c r="BC421" t="s">
        <v>1024</v>
      </c>
      <c r="BD421" t="s">
        <v>1025</v>
      </c>
    </row>
    <row r="422" spans="51:56" x14ac:dyDescent="0.25">
      <c r="AY422" t="s">
        <v>913</v>
      </c>
      <c r="AZ422" t="s">
        <v>914</v>
      </c>
      <c r="BA422" t="s">
        <v>203</v>
      </c>
      <c r="BB422" t="s">
        <v>995</v>
      </c>
      <c r="BC422" t="s">
        <v>1094</v>
      </c>
    </row>
    <row r="423" spans="51:56" x14ac:dyDescent="0.25">
      <c r="AY423" t="s">
        <v>915</v>
      </c>
      <c r="AZ423" t="s">
        <v>364</v>
      </c>
      <c r="BA423" t="s">
        <v>203</v>
      </c>
      <c r="BB423" t="s">
        <v>1028</v>
      </c>
      <c r="BC423" t="s">
        <v>1085</v>
      </c>
    </row>
    <row r="424" spans="51:56" x14ac:dyDescent="0.25">
      <c r="AY424" t="s">
        <v>916</v>
      </c>
      <c r="AZ424" t="s">
        <v>917</v>
      </c>
      <c r="BA424" t="s">
        <v>203</v>
      </c>
      <c r="BB424" t="s">
        <v>1044</v>
      </c>
      <c r="BC424" t="s">
        <v>1065</v>
      </c>
    </row>
    <row r="425" spans="51:56" x14ac:dyDescent="0.25">
      <c r="AY425" t="s">
        <v>918</v>
      </c>
      <c r="AZ425" t="s">
        <v>919</v>
      </c>
      <c r="BA425" t="s">
        <v>203</v>
      </c>
      <c r="BB425" t="s">
        <v>1028</v>
      </c>
      <c r="BC425" t="s">
        <v>1085</v>
      </c>
    </row>
    <row r="426" spans="51:56" x14ac:dyDescent="0.25">
      <c r="AY426" t="s">
        <v>920</v>
      </c>
      <c r="AZ426" t="s">
        <v>921</v>
      </c>
      <c r="BA426" t="s">
        <v>203</v>
      </c>
      <c r="BB426" t="s">
        <v>1044</v>
      </c>
      <c r="BC426" t="s">
        <v>1065</v>
      </c>
    </row>
  </sheetData>
  <mergeCells count="6">
    <mergeCell ref="I10:J10"/>
    <mergeCell ref="K10:O10"/>
    <mergeCell ref="A1:AC1"/>
    <mergeCell ref="I9:J9"/>
    <mergeCell ref="K9:M9"/>
    <mergeCell ref="K8:M8"/>
  </mergeCells>
  <hyperlinks>
    <hyperlink ref="A3" r:id="rId1" display="ignasi.garcia.martin.e@gmail.com" xr:uid="{BFEDE8AD-47E1-460C-85F7-7D0119D89DFA}"/>
  </hyperlinks>
  <pageMargins left="0.7" right="0.7" top="0.75" bottom="0.75" header="0.3" footer="0.3"/>
  <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6efdc87-466f-492d-a6b2-4b93e0b9ba0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F8792C191BCB5468910BB6B75964087" ma:contentTypeVersion="6" ma:contentTypeDescription="Crear nuevo documento." ma:contentTypeScope="" ma:versionID="e9203dbd76957cf463e5612d510aa63a">
  <xsd:schema xmlns:xsd="http://www.w3.org/2001/XMLSchema" xmlns:xs="http://www.w3.org/2001/XMLSchema" xmlns:p="http://schemas.microsoft.com/office/2006/metadata/properties" xmlns:ns3="b6efdc87-466f-492d-a6b2-4b93e0b9ba03" targetNamespace="http://schemas.microsoft.com/office/2006/metadata/properties" ma:root="true" ma:fieldsID="c57bbb08ca60cfb4719251736b6d313e" ns3:_="">
    <xsd:import namespace="b6efdc87-466f-492d-a6b2-4b93e0b9ba0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efdc87-466f-492d-a6b2-4b93e0b9ba0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443754E-299D-45D4-8A52-6FE38BEFE5AD}">
  <ds:schemaRefs>
    <ds:schemaRef ds:uri="http://purl.org/dc/dcmitype/"/>
    <ds:schemaRef ds:uri="b6efdc87-466f-492d-a6b2-4b93e0b9ba03"/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DBDE944-1884-48FA-A794-40DA1B3D85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87BE1C7-990E-4A46-B95C-A20D9281B0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efdc87-466f-492d-a6b2-4b93e0b9ba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MACRO_ECONOMIC_ANALYSIS</vt:lpstr>
      <vt:lpstr>COMPANY ANALYSIS</vt:lpstr>
      <vt:lpstr>BACKEND (companies data)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Garcia Martin Ignasi</dc:creator>
  <cp:keywords/>
  <dc:description/>
  <cp:lastModifiedBy>Garcia Martin Ignasi</cp:lastModifiedBy>
  <cp:revision/>
  <dcterms:created xsi:type="dcterms:W3CDTF">2025-09-03T15:48:24Z</dcterms:created>
  <dcterms:modified xsi:type="dcterms:W3CDTF">2026-01-03T16:46:46Z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0x010100AF8792C191BCB5468910BB6B75964087</vt:lpwstr>
  </property>
</Properties>
</file>